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codeName="ThisWorkbook"/>
  <mc:AlternateContent xmlns:mc="http://schemas.openxmlformats.org/markup-compatibility/2006">
    <mc:Choice Requires="x15">
      <x15ac:absPath xmlns:x15ac="http://schemas.microsoft.com/office/spreadsheetml/2010/11/ac" url="https://depedph.sharepoint.com/sites/ROMANAELEMENTARYSCHOOL117443/Shared Documents/ASSESSMENT RESULTS/CRLA 2025-2026/EOSY/"/>
    </mc:Choice>
  </mc:AlternateContent>
  <xr:revisionPtr revIDLastSave="0" documentId="13_ncr:1_{9402B821-FC83-4134-9106-CB694935510E}" xr6:coauthVersionLast="47" xr6:coauthVersionMax="47" xr10:uidLastSave="{00000000-0000-0000-0000-000000000000}"/>
  <workbookProtection workbookAlgorithmName="SHA-512" workbookHashValue="UM6o5XEEDNoWpHlMWzb1bJGU4gbXbasM5m/sneL1Gcr8P/H3OSNzgyqyPM4OqFNZ5JfDXnEcmlQcWC2ZloHBEw==" workbookSaltValue="vEIAN6k6frO5Mt7ovYGLoQ==" workbookSpinCount="100000" lockStructure="1"/>
  <bookViews>
    <workbookView xWindow="-90" yWindow="0" windowWidth="9780" windowHeight="10170" tabRatio="958" firstSheet="2" activeTab="2" xr2:uid="{00000000-000D-0000-FFFF-FFFF00000000}"/>
  </bookViews>
  <sheets>
    <sheet name="G2 MT Reading Scoresheet" sheetId="1" r:id="rId1"/>
    <sheet name="G2 FIL Reading Scoresheet" sheetId="7" r:id="rId2"/>
    <sheet name="Class Record" sheetId="3" r:id="rId3"/>
    <sheet name="Class Summary" sheetId="2" r:id="rId4"/>
    <sheet name="Scoring Reference" sheetId="5" r:id="rId5"/>
    <sheet name="List" sheetId="4" state="hidden" r:id="rId6"/>
  </sheets>
  <definedNames>
    <definedName name="_xlnm._FilterDatabase" localSheetId="2" hidden="1">'Class Record'!$A$8:$R$108</definedName>
    <definedName name="_xlnm._FilterDatabase" localSheetId="1" hidden="1">'G2 FIL Reading Scoresheet'!$B$10:$U$110</definedName>
    <definedName name="_xlnm._FilterDatabase" localSheetId="0" hidden="1">'G2 MT Reading Scoresheet'!$C$10:$U$110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2" l="1"/>
  <c r="A23" i="2"/>
  <c r="A22" i="2"/>
  <c r="A21" i="2"/>
  <c r="A20" i="2"/>
  <c r="A19" i="2"/>
  <c r="D14" i="2"/>
  <c r="C14" i="2"/>
  <c r="B14" i="2"/>
  <c r="A14" i="2"/>
  <c r="D13" i="2"/>
  <c r="C13" i="2"/>
  <c r="B13" i="2"/>
  <c r="A13" i="2"/>
  <c r="D11" i="2"/>
  <c r="C11" i="2"/>
  <c r="B11" i="2"/>
  <c r="A11" i="2"/>
  <c r="C10" i="2"/>
  <c r="B10" i="2"/>
  <c r="A10" i="2"/>
  <c r="G9" i="2"/>
  <c r="F9" i="2"/>
  <c r="F13" i="2" s="1"/>
  <c r="D9" i="2"/>
  <c r="C9" i="2"/>
  <c r="B9" i="2"/>
  <c r="A9" i="2"/>
  <c r="G8" i="2"/>
  <c r="F8" i="2"/>
  <c r="D8" i="2"/>
  <c r="C8" i="2"/>
  <c r="B8" i="2"/>
  <c r="C5" i="2"/>
  <c r="C4" i="2"/>
  <c r="Q108" i="3"/>
  <c r="P108" i="3"/>
  <c r="O108" i="3"/>
  <c r="N108" i="3"/>
  <c r="M108" i="3"/>
  <c r="L108" i="3"/>
  <c r="K108" i="3"/>
  <c r="J108" i="3"/>
  <c r="H108" i="3"/>
  <c r="G108" i="3"/>
  <c r="F108" i="3"/>
  <c r="I108" i="3" s="1"/>
  <c r="E108" i="3"/>
  <c r="D108" i="3"/>
  <c r="C108" i="3"/>
  <c r="B108" i="3"/>
  <c r="Q107" i="3"/>
  <c r="P107" i="3"/>
  <c r="O107" i="3"/>
  <c r="N107" i="3"/>
  <c r="M107" i="3"/>
  <c r="L107" i="3"/>
  <c r="K107" i="3"/>
  <c r="J107" i="3"/>
  <c r="I107" i="3"/>
  <c r="H107" i="3"/>
  <c r="G107" i="3"/>
  <c r="F107" i="3"/>
  <c r="E107" i="3"/>
  <c r="D107" i="3"/>
  <c r="C107" i="3"/>
  <c r="B107" i="3"/>
  <c r="A107" i="3"/>
  <c r="Q106" i="3"/>
  <c r="P106" i="3"/>
  <c r="O106" i="3"/>
  <c r="N106" i="3"/>
  <c r="M106" i="3"/>
  <c r="L106" i="3"/>
  <c r="K106" i="3"/>
  <c r="J106" i="3"/>
  <c r="I106" i="3"/>
  <c r="H106" i="3"/>
  <c r="G106" i="3"/>
  <c r="F106" i="3"/>
  <c r="E106" i="3"/>
  <c r="D106" i="3"/>
  <c r="C106" i="3"/>
  <c r="B106" i="3"/>
  <c r="A106" i="3"/>
  <c r="Q105" i="3"/>
  <c r="P105" i="3"/>
  <c r="O105" i="3"/>
  <c r="N105" i="3"/>
  <c r="M105" i="3"/>
  <c r="L105" i="3"/>
  <c r="K105" i="3"/>
  <c r="J105" i="3"/>
  <c r="I105" i="3"/>
  <c r="H105" i="3"/>
  <c r="G105" i="3"/>
  <c r="F105" i="3"/>
  <c r="E105" i="3"/>
  <c r="D105" i="3"/>
  <c r="C105" i="3"/>
  <c r="B105" i="3"/>
  <c r="A105" i="3"/>
  <c r="Q104" i="3"/>
  <c r="P104" i="3"/>
  <c r="O104" i="3"/>
  <c r="N104" i="3"/>
  <c r="M104" i="3"/>
  <c r="L104" i="3"/>
  <c r="K104" i="3"/>
  <c r="J104" i="3"/>
  <c r="I104" i="3"/>
  <c r="H104" i="3"/>
  <c r="G104" i="3"/>
  <c r="F104" i="3"/>
  <c r="E104" i="3"/>
  <c r="D104" i="3"/>
  <c r="C104" i="3"/>
  <c r="B104" i="3"/>
  <c r="A104" i="3"/>
  <c r="Q103" i="3"/>
  <c r="P103" i="3"/>
  <c r="O103" i="3"/>
  <c r="N103" i="3"/>
  <c r="M103" i="3"/>
  <c r="L103" i="3"/>
  <c r="K103" i="3"/>
  <c r="J103" i="3"/>
  <c r="I103" i="3"/>
  <c r="H103" i="3"/>
  <c r="G103" i="3"/>
  <c r="F103" i="3"/>
  <c r="E103" i="3"/>
  <c r="D103" i="3"/>
  <c r="C103" i="3"/>
  <c r="B103" i="3"/>
  <c r="A103" i="3"/>
  <c r="Q102" i="3"/>
  <c r="P102" i="3"/>
  <c r="O102" i="3"/>
  <c r="N102" i="3"/>
  <c r="M102" i="3"/>
  <c r="L102" i="3"/>
  <c r="K102" i="3"/>
  <c r="J102" i="3"/>
  <c r="I102" i="3"/>
  <c r="H102" i="3"/>
  <c r="G102" i="3"/>
  <c r="F102" i="3"/>
  <c r="E102" i="3"/>
  <c r="D102" i="3"/>
  <c r="C102" i="3"/>
  <c r="B102" i="3"/>
  <c r="A102" i="3"/>
  <c r="Q101" i="3"/>
  <c r="P101" i="3"/>
  <c r="O101" i="3"/>
  <c r="N101" i="3"/>
  <c r="M101" i="3"/>
  <c r="L101" i="3"/>
  <c r="K101" i="3"/>
  <c r="J101" i="3"/>
  <c r="I101" i="3"/>
  <c r="H101" i="3"/>
  <c r="G101" i="3"/>
  <c r="F101" i="3"/>
  <c r="E101" i="3"/>
  <c r="D101" i="3"/>
  <c r="C101" i="3"/>
  <c r="B101" i="3"/>
  <c r="A101" i="3"/>
  <c r="Q100" i="3"/>
  <c r="P100" i="3"/>
  <c r="O100" i="3"/>
  <c r="N100" i="3"/>
  <c r="M100" i="3"/>
  <c r="L100" i="3"/>
  <c r="K100" i="3"/>
  <c r="J100" i="3"/>
  <c r="I100" i="3"/>
  <c r="H100" i="3"/>
  <c r="G100" i="3"/>
  <c r="F100" i="3"/>
  <c r="E100" i="3"/>
  <c r="D100" i="3"/>
  <c r="C100" i="3"/>
  <c r="B100" i="3"/>
  <c r="A100" i="3"/>
  <c r="Q99" i="3"/>
  <c r="P99" i="3"/>
  <c r="O99" i="3"/>
  <c r="N99" i="3"/>
  <c r="M99" i="3"/>
  <c r="L99" i="3"/>
  <c r="K99" i="3"/>
  <c r="J99" i="3"/>
  <c r="I99" i="3"/>
  <c r="H99" i="3"/>
  <c r="G99" i="3"/>
  <c r="F99" i="3"/>
  <c r="E99" i="3"/>
  <c r="D99" i="3"/>
  <c r="C99" i="3"/>
  <c r="B99" i="3"/>
  <c r="A99" i="3"/>
  <c r="Q98" i="3"/>
  <c r="P98" i="3"/>
  <c r="O98" i="3"/>
  <c r="N98" i="3"/>
  <c r="M98" i="3"/>
  <c r="L98" i="3"/>
  <c r="K98" i="3"/>
  <c r="J98" i="3"/>
  <c r="I98" i="3"/>
  <c r="H98" i="3"/>
  <c r="G98" i="3"/>
  <c r="F98" i="3"/>
  <c r="E98" i="3"/>
  <c r="D98" i="3"/>
  <c r="C98" i="3"/>
  <c r="B98" i="3"/>
  <c r="A98" i="3"/>
  <c r="Q97" i="3"/>
  <c r="P97" i="3"/>
  <c r="O97" i="3"/>
  <c r="N97" i="3"/>
  <c r="M97" i="3"/>
  <c r="L97" i="3"/>
  <c r="K97" i="3"/>
  <c r="J97" i="3"/>
  <c r="I97" i="3"/>
  <c r="H97" i="3"/>
  <c r="G97" i="3"/>
  <c r="F97" i="3"/>
  <c r="E97" i="3"/>
  <c r="D97" i="3"/>
  <c r="C97" i="3"/>
  <c r="B97" i="3"/>
  <c r="A97" i="3"/>
  <c r="Q96" i="3"/>
  <c r="P96" i="3"/>
  <c r="O96" i="3"/>
  <c r="N96" i="3"/>
  <c r="M96" i="3"/>
  <c r="L96" i="3"/>
  <c r="K96" i="3"/>
  <c r="J96" i="3"/>
  <c r="I96" i="3"/>
  <c r="H96" i="3"/>
  <c r="G96" i="3"/>
  <c r="F96" i="3"/>
  <c r="E96" i="3"/>
  <c r="D96" i="3"/>
  <c r="C96" i="3"/>
  <c r="B96" i="3"/>
  <c r="A96" i="3"/>
  <c r="Q95" i="3"/>
  <c r="P95" i="3"/>
  <c r="O95" i="3"/>
  <c r="N95" i="3"/>
  <c r="M95" i="3"/>
  <c r="L95" i="3"/>
  <c r="K95" i="3"/>
  <c r="J95" i="3"/>
  <c r="I95" i="3"/>
  <c r="H95" i="3"/>
  <c r="G95" i="3"/>
  <c r="F95" i="3"/>
  <c r="E95" i="3"/>
  <c r="D95" i="3"/>
  <c r="C95" i="3"/>
  <c r="B95" i="3"/>
  <c r="A95" i="3"/>
  <c r="Q94" i="3"/>
  <c r="P94" i="3"/>
  <c r="O94" i="3"/>
  <c r="N94" i="3"/>
  <c r="M94" i="3"/>
  <c r="L94" i="3"/>
  <c r="K94" i="3"/>
  <c r="J94" i="3"/>
  <c r="I94" i="3"/>
  <c r="H94" i="3"/>
  <c r="G94" i="3"/>
  <c r="F94" i="3"/>
  <c r="E94" i="3"/>
  <c r="D94" i="3"/>
  <c r="C94" i="3"/>
  <c r="B94" i="3"/>
  <c r="A94" i="3"/>
  <c r="Q93" i="3"/>
  <c r="P93" i="3"/>
  <c r="O93" i="3"/>
  <c r="N93" i="3"/>
  <c r="M93" i="3"/>
  <c r="L93" i="3"/>
  <c r="K93" i="3"/>
  <c r="J93" i="3"/>
  <c r="I93" i="3"/>
  <c r="H93" i="3"/>
  <c r="G93" i="3"/>
  <c r="F93" i="3"/>
  <c r="E93" i="3"/>
  <c r="D93" i="3"/>
  <c r="C93" i="3"/>
  <c r="B93" i="3"/>
  <c r="A93" i="3"/>
  <c r="Q92" i="3"/>
  <c r="P92" i="3"/>
  <c r="O92" i="3"/>
  <c r="N92" i="3"/>
  <c r="M92" i="3"/>
  <c r="L92" i="3"/>
  <c r="K92" i="3"/>
  <c r="J92" i="3"/>
  <c r="I92" i="3"/>
  <c r="H92" i="3"/>
  <c r="G92" i="3"/>
  <c r="F92" i="3"/>
  <c r="E92" i="3"/>
  <c r="D92" i="3"/>
  <c r="C92" i="3"/>
  <c r="B92" i="3"/>
  <c r="A92" i="3"/>
  <c r="Q91" i="3"/>
  <c r="P91" i="3"/>
  <c r="O91" i="3"/>
  <c r="N91" i="3"/>
  <c r="M91" i="3"/>
  <c r="L91" i="3"/>
  <c r="K91" i="3"/>
  <c r="J91" i="3"/>
  <c r="I91" i="3"/>
  <c r="H91" i="3"/>
  <c r="G91" i="3"/>
  <c r="F91" i="3"/>
  <c r="E91" i="3"/>
  <c r="D91" i="3"/>
  <c r="C91" i="3"/>
  <c r="B91" i="3"/>
  <c r="A91" i="3"/>
  <c r="Q90" i="3"/>
  <c r="P90" i="3"/>
  <c r="O90" i="3"/>
  <c r="N90" i="3"/>
  <c r="M90" i="3"/>
  <c r="L90" i="3"/>
  <c r="K90" i="3"/>
  <c r="J90" i="3"/>
  <c r="I90" i="3"/>
  <c r="H90" i="3"/>
  <c r="G90" i="3"/>
  <c r="F90" i="3"/>
  <c r="E90" i="3"/>
  <c r="D90" i="3"/>
  <c r="C90" i="3"/>
  <c r="B90" i="3"/>
  <c r="A90" i="3"/>
  <c r="Q89" i="3"/>
  <c r="P89" i="3"/>
  <c r="O89" i="3"/>
  <c r="N89" i="3"/>
  <c r="M89" i="3"/>
  <c r="L89" i="3"/>
  <c r="K89" i="3"/>
  <c r="J89" i="3"/>
  <c r="I89" i="3"/>
  <c r="H89" i="3"/>
  <c r="G89" i="3"/>
  <c r="F89" i="3"/>
  <c r="E89" i="3"/>
  <c r="D89" i="3"/>
  <c r="C89" i="3"/>
  <c r="B89" i="3"/>
  <c r="A89" i="3"/>
  <c r="Q88" i="3"/>
  <c r="P88" i="3"/>
  <c r="O88" i="3"/>
  <c r="N88" i="3"/>
  <c r="M88" i="3"/>
  <c r="L88" i="3"/>
  <c r="K88" i="3"/>
  <c r="J88" i="3"/>
  <c r="I88" i="3"/>
  <c r="H88" i="3"/>
  <c r="G88" i="3"/>
  <c r="F88" i="3"/>
  <c r="E88" i="3"/>
  <c r="D88" i="3"/>
  <c r="C88" i="3"/>
  <c r="B88" i="3"/>
  <c r="A88" i="3"/>
  <c r="Q87" i="3"/>
  <c r="P87" i="3"/>
  <c r="O87" i="3"/>
  <c r="N87" i="3"/>
  <c r="M87" i="3"/>
  <c r="L87" i="3"/>
  <c r="K87" i="3"/>
  <c r="J87" i="3"/>
  <c r="I87" i="3"/>
  <c r="H87" i="3"/>
  <c r="G87" i="3"/>
  <c r="F87" i="3"/>
  <c r="E87" i="3"/>
  <c r="D87" i="3"/>
  <c r="C87" i="3"/>
  <c r="B87" i="3"/>
  <c r="A87" i="3"/>
  <c r="Q86" i="3"/>
  <c r="P86" i="3"/>
  <c r="O86" i="3"/>
  <c r="N86" i="3"/>
  <c r="M86" i="3"/>
  <c r="L86" i="3"/>
  <c r="K86" i="3"/>
  <c r="J86" i="3"/>
  <c r="I86" i="3"/>
  <c r="H86" i="3"/>
  <c r="G86" i="3"/>
  <c r="F86" i="3"/>
  <c r="E86" i="3"/>
  <c r="D86" i="3"/>
  <c r="C86" i="3"/>
  <c r="B86" i="3"/>
  <c r="A86" i="3"/>
  <c r="Q85" i="3"/>
  <c r="P85" i="3"/>
  <c r="O85" i="3"/>
  <c r="N85" i="3"/>
  <c r="M85" i="3"/>
  <c r="L85" i="3"/>
  <c r="K85" i="3"/>
  <c r="J85" i="3"/>
  <c r="I85" i="3"/>
  <c r="H85" i="3"/>
  <c r="G85" i="3"/>
  <c r="F85" i="3"/>
  <c r="E85" i="3"/>
  <c r="D85" i="3"/>
  <c r="C85" i="3"/>
  <c r="B85" i="3"/>
  <c r="A85" i="3"/>
  <c r="Q84" i="3"/>
  <c r="P84" i="3"/>
  <c r="O84" i="3"/>
  <c r="N84" i="3"/>
  <c r="M84" i="3"/>
  <c r="L84" i="3"/>
  <c r="K84" i="3"/>
  <c r="J84" i="3"/>
  <c r="I84" i="3"/>
  <c r="H84" i="3"/>
  <c r="G84" i="3"/>
  <c r="F84" i="3"/>
  <c r="E84" i="3"/>
  <c r="D84" i="3"/>
  <c r="C84" i="3"/>
  <c r="B84" i="3"/>
  <c r="A84" i="3"/>
  <c r="Q83" i="3"/>
  <c r="P83" i="3"/>
  <c r="O83" i="3"/>
  <c r="N83" i="3"/>
  <c r="M83" i="3"/>
  <c r="L83" i="3"/>
  <c r="K83" i="3"/>
  <c r="J83" i="3"/>
  <c r="I83" i="3"/>
  <c r="H83" i="3"/>
  <c r="G83" i="3"/>
  <c r="F83" i="3"/>
  <c r="E83" i="3"/>
  <c r="D83" i="3"/>
  <c r="C83" i="3"/>
  <c r="B83" i="3"/>
  <c r="A83" i="3"/>
  <c r="Q82" i="3"/>
  <c r="P82" i="3"/>
  <c r="O82" i="3"/>
  <c r="N82" i="3"/>
  <c r="M82" i="3"/>
  <c r="L82" i="3"/>
  <c r="K82" i="3"/>
  <c r="J82" i="3"/>
  <c r="I82" i="3"/>
  <c r="H82" i="3"/>
  <c r="G82" i="3"/>
  <c r="F82" i="3"/>
  <c r="E82" i="3"/>
  <c r="D82" i="3"/>
  <c r="C82" i="3"/>
  <c r="B82" i="3"/>
  <c r="A82" i="3"/>
  <c r="Q81" i="3"/>
  <c r="P81" i="3"/>
  <c r="O81" i="3"/>
  <c r="N81" i="3"/>
  <c r="M81" i="3"/>
  <c r="L81" i="3"/>
  <c r="K81" i="3"/>
  <c r="J81" i="3"/>
  <c r="I81" i="3"/>
  <c r="H81" i="3"/>
  <c r="G81" i="3"/>
  <c r="F81" i="3"/>
  <c r="E81" i="3"/>
  <c r="D81" i="3"/>
  <c r="C81" i="3"/>
  <c r="B81" i="3"/>
  <c r="A81" i="3"/>
  <c r="Q80" i="3"/>
  <c r="P80" i="3"/>
  <c r="O80" i="3"/>
  <c r="N80" i="3"/>
  <c r="M80" i="3"/>
  <c r="L80" i="3"/>
  <c r="K80" i="3"/>
  <c r="J80" i="3"/>
  <c r="I80" i="3"/>
  <c r="H80" i="3"/>
  <c r="G80" i="3"/>
  <c r="F80" i="3"/>
  <c r="E80" i="3"/>
  <c r="D80" i="3"/>
  <c r="C80" i="3"/>
  <c r="B80" i="3"/>
  <c r="A80" i="3"/>
  <c r="Q79" i="3"/>
  <c r="P79" i="3"/>
  <c r="O79" i="3"/>
  <c r="N79" i="3"/>
  <c r="M79" i="3"/>
  <c r="L79" i="3"/>
  <c r="K79" i="3"/>
  <c r="J79" i="3"/>
  <c r="I79" i="3"/>
  <c r="H79" i="3"/>
  <c r="G79" i="3"/>
  <c r="F79" i="3"/>
  <c r="E79" i="3"/>
  <c r="D79" i="3"/>
  <c r="C79" i="3"/>
  <c r="B79" i="3"/>
  <c r="A79" i="3"/>
  <c r="Q78" i="3"/>
  <c r="P78" i="3"/>
  <c r="O78" i="3"/>
  <c r="N78" i="3"/>
  <c r="M78" i="3"/>
  <c r="L78" i="3"/>
  <c r="K78" i="3"/>
  <c r="J78" i="3"/>
  <c r="I78" i="3"/>
  <c r="H78" i="3"/>
  <c r="G78" i="3"/>
  <c r="F78" i="3"/>
  <c r="E78" i="3"/>
  <c r="D78" i="3"/>
  <c r="C78" i="3"/>
  <c r="B78" i="3"/>
  <c r="A78" i="3"/>
  <c r="Q77" i="3"/>
  <c r="P77" i="3"/>
  <c r="O77" i="3"/>
  <c r="N77" i="3"/>
  <c r="M77" i="3"/>
  <c r="L77" i="3"/>
  <c r="K77" i="3"/>
  <c r="J77" i="3"/>
  <c r="I77" i="3"/>
  <c r="H77" i="3"/>
  <c r="G77" i="3"/>
  <c r="F77" i="3"/>
  <c r="E77" i="3"/>
  <c r="D77" i="3"/>
  <c r="C77" i="3"/>
  <c r="B77" i="3"/>
  <c r="A77" i="3"/>
  <c r="Q76" i="3"/>
  <c r="P76" i="3"/>
  <c r="O76" i="3"/>
  <c r="N76" i="3"/>
  <c r="M76" i="3"/>
  <c r="L76" i="3"/>
  <c r="K76" i="3"/>
  <c r="J76" i="3"/>
  <c r="I76" i="3"/>
  <c r="H76" i="3"/>
  <c r="G76" i="3"/>
  <c r="F76" i="3"/>
  <c r="E76" i="3"/>
  <c r="D76" i="3"/>
  <c r="C76" i="3"/>
  <c r="B76" i="3"/>
  <c r="A76" i="3"/>
  <c r="Q75" i="3"/>
  <c r="P75" i="3"/>
  <c r="O75" i="3"/>
  <c r="N75" i="3"/>
  <c r="M75" i="3"/>
  <c r="L75" i="3"/>
  <c r="K75" i="3"/>
  <c r="J75" i="3"/>
  <c r="I75" i="3"/>
  <c r="H75" i="3"/>
  <c r="G75" i="3"/>
  <c r="F75" i="3"/>
  <c r="E75" i="3"/>
  <c r="D75" i="3"/>
  <c r="C75" i="3"/>
  <c r="B75" i="3"/>
  <c r="A75" i="3"/>
  <c r="Q74" i="3"/>
  <c r="P74" i="3"/>
  <c r="O74" i="3"/>
  <c r="N74" i="3"/>
  <c r="M74" i="3"/>
  <c r="L74" i="3"/>
  <c r="K74" i="3"/>
  <c r="J74" i="3"/>
  <c r="I74" i="3"/>
  <c r="H74" i="3"/>
  <c r="G74" i="3"/>
  <c r="F74" i="3"/>
  <c r="E74" i="3"/>
  <c r="D74" i="3"/>
  <c r="C74" i="3"/>
  <c r="B74" i="3"/>
  <c r="A74" i="3"/>
  <c r="Q73" i="3"/>
  <c r="P73" i="3"/>
  <c r="O73" i="3"/>
  <c r="N73" i="3"/>
  <c r="M73" i="3"/>
  <c r="L73" i="3"/>
  <c r="K73" i="3"/>
  <c r="J73" i="3"/>
  <c r="I73" i="3"/>
  <c r="H73" i="3"/>
  <c r="G73" i="3"/>
  <c r="F73" i="3"/>
  <c r="E73" i="3"/>
  <c r="D73" i="3"/>
  <c r="C73" i="3"/>
  <c r="B73" i="3"/>
  <c r="A73" i="3"/>
  <c r="Q72" i="3"/>
  <c r="P72" i="3"/>
  <c r="O72" i="3"/>
  <c r="N72" i="3"/>
  <c r="M72" i="3"/>
  <c r="L72" i="3"/>
  <c r="K72" i="3"/>
  <c r="J72" i="3"/>
  <c r="I72" i="3"/>
  <c r="H72" i="3"/>
  <c r="G72" i="3"/>
  <c r="F72" i="3"/>
  <c r="E72" i="3"/>
  <c r="D72" i="3"/>
  <c r="C72" i="3"/>
  <c r="B72" i="3"/>
  <c r="A72" i="3"/>
  <c r="Q71" i="3"/>
  <c r="P71" i="3"/>
  <c r="O71" i="3"/>
  <c r="N71" i="3"/>
  <c r="M71" i="3"/>
  <c r="L71" i="3"/>
  <c r="K71" i="3"/>
  <c r="J71" i="3"/>
  <c r="I71" i="3"/>
  <c r="H71" i="3"/>
  <c r="G71" i="3"/>
  <c r="F71" i="3"/>
  <c r="E71" i="3"/>
  <c r="D71" i="3"/>
  <c r="C71" i="3"/>
  <c r="B71" i="3"/>
  <c r="A71" i="3"/>
  <c r="Q70" i="3"/>
  <c r="P70" i="3"/>
  <c r="O70" i="3"/>
  <c r="N70" i="3"/>
  <c r="M70" i="3"/>
  <c r="L70" i="3"/>
  <c r="K70" i="3"/>
  <c r="J70" i="3"/>
  <c r="I70" i="3"/>
  <c r="H70" i="3"/>
  <c r="G70" i="3"/>
  <c r="F70" i="3"/>
  <c r="E70" i="3"/>
  <c r="D70" i="3"/>
  <c r="C70" i="3"/>
  <c r="B70" i="3"/>
  <c r="A70" i="3"/>
  <c r="Q69" i="3"/>
  <c r="P69" i="3"/>
  <c r="O69" i="3"/>
  <c r="N69" i="3"/>
  <c r="M69" i="3"/>
  <c r="L69" i="3"/>
  <c r="K69" i="3"/>
  <c r="J69" i="3"/>
  <c r="I69" i="3"/>
  <c r="H69" i="3"/>
  <c r="G69" i="3"/>
  <c r="F69" i="3"/>
  <c r="E69" i="3"/>
  <c r="D69" i="3"/>
  <c r="C69" i="3"/>
  <c r="B69" i="3"/>
  <c r="A69" i="3"/>
  <c r="Q68" i="3"/>
  <c r="P68" i="3"/>
  <c r="O68" i="3"/>
  <c r="N68" i="3"/>
  <c r="M68" i="3"/>
  <c r="L68" i="3"/>
  <c r="K68" i="3"/>
  <c r="J68" i="3"/>
  <c r="I68" i="3"/>
  <c r="H68" i="3"/>
  <c r="G68" i="3"/>
  <c r="F68" i="3"/>
  <c r="E68" i="3"/>
  <c r="D68" i="3"/>
  <c r="C68" i="3"/>
  <c r="B68" i="3"/>
  <c r="A68" i="3"/>
  <c r="Q67" i="3"/>
  <c r="P67" i="3"/>
  <c r="O67" i="3"/>
  <c r="N67" i="3"/>
  <c r="M67" i="3"/>
  <c r="L67" i="3"/>
  <c r="K67" i="3"/>
  <c r="J67" i="3"/>
  <c r="I67" i="3"/>
  <c r="H67" i="3"/>
  <c r="G67" i="3"/>
  <c r="F67" i="3"/>
  <c r="E67" i="3"/>
  <c r="D67" i="3"/>
  <c r="C67" i="3"/>
  <c r="B67" i="3"/>
  <c r="Q66" i="3"/>
  <c r="P66" i="3"/>
  <c r="O66" i="3"/>
  <c r="N66" i="3"/>
  <c r="M66" i="3"/>
  <c r="L66" i="3"/>
  <c r="K66" i="3"/>
  <c r="J66" i="3"/>
  <c r="I66" i="3"/>
  <c r="H66" i="3"/>
  <c r="G66" i="3"/>
  <c r="F66" i="3"/>
  <c r="E66" i="3"/>
  <c r="D66" i="3"/>
  <c r="C66" i="3"/>
  <c r="B66" i="3"/>
  <c r="Q65" i="3"/>
  <c r="P65" i="3"/>
  <c r="O65" i="3"/>
  <c r="N65" i="3"/>
  <c r="M65" i="3"/>
  <c r="L65" i="3"/>
  <c r="K65" i="3"/>
  <c r="J65" i="3"/>
  <c r="I65" i="3"/>
  <c r="H65" i="3"/>
  <c r="G65" i="3"/>
  <c r="F65" i="3"/>
  <c r="E65" i="3"/>
  <c r="D65" i="3"/>
  <c r="C65" i="3"/>
  <c r="B65" i="3"/>
  <c r="Q64" i="3"/>
  <c r="P64" i="3"/>
  <c r="O64" i="3"/>
  <c r="N64" i="3"/>
  <c r="M64" i="3"/>
  <c r="L64" i="3"/>
  <c r="K64" i="3"/>
  <c r="J64" i="3"/>
  <c r="I64" i="3"/>
  <c r="H64" i="3"/>
  <c r="G64" i="3"/>
  <c r="F64" i="3"/>
  <c r="E64" i="3"/>
  <c r="D64" i="3"/>
  <c r="C64" i="3"/>
  <c r="B64" i="3"/>
  <c r="Q63" i="3"/>
  <c r="P63" i="3"/>
  <c r="O63" i="3"/>
  <c r="N63" i="3"/>
  <c r="M63" i="3"/>
  <c r="L63" i="3"/>
  <c r="K63" i="3"/>
  <c r="J63" i="3"/>
  <c r="I63" i="3"/>
  <c r="H63" i="3"/>
  <c r="G63" i="3"/>
  <c r="F63" i="3"/>
  <c r="E63" i="3"/>
  <c r="D63" i="3"/>
  <c r="C63" i="3"/>
  <c r="B63" i="3"/>
  <c r="Q62" i="3"/>
  <c r="P62" i="3"/>
  <c r="O62" i="3"/>
  <c r="N62" i="3"/>
  <c r="M62" i="3"/>
  <c r="L62" i="3"/>
  <c r="K62" i="3"/>
  <c r="J62" i="3"/>
  <c r="I62" i="3"/>
  <c r="H62" i="3"/>
  <c r="G62" i="3"/>
  <c r="F62" i="3"/>
  <c r="E62" i="3"/>
  <c r="D62" i="3"/>
  <c r="C62" i="3"/>
  <c r="B62" i="3"/>
  <c r="Q61" i="3"/>
  <c r="P61" i="3"/>
  <c r="O61" i="3"/>
  <c r="N61" i="3"/>
  <c r="M61" i="3"/>
  <c r="L61" i="3"/>
  <c r="K61" i="3"/>
  <c r="J61" i="3"/>
  <c r="I61" i="3"/>
  <c r="H61" i="3"/>
  <c r="G61" i="3"/>
  <c r="F61" i="3"/>
  <c r="E61" i="3"/>
  <c r="D61" i="3"/>
  <c r="C61" i="3"/>
  <c r="B61" i="3"/>
  <c r="Q60" i="3"/>
  <c r="P60" i="3"/>
  <c r="O60" i="3"/>
  <c r="N60" i="3"/>
  <c r="M60" i="3"/>
  <c r="L60" i="3"/>
  <c r="K60" i="3"/>
  <c r="J60" i="3"/>
  <c r="I60" i="3"/>
  <c r="H60" i="3"/>
  <c r="G60" i="3"/>
  <c r="F60" i="3"/>
  <c r="E60" i="3"/>
  <c r="D60" i="3"/>
  <c r="C60" i="3"/>
  <c r="B60" i="3"/>
  <c r="Q59" i="3"/>
  <c r="P59" i="3"/>
  <c r="O59" i="3"/>
  <c r="N59" i="3"/>
  <c r="M59" i="3"/>
  <c r="L59" i="3"/>
  <c r="K59" i="3"/>
  <c r="J59" i="3"/>
  <c r="I59" i="3"/>
  <c r="H59" i="3"/>
  <c r="G59" i="3"/>
  <c r="F59" i="3"/>
  <c r="E59" i="3"/>
  <c r="D59" i="3"/>
  <c r="C59" i="3"/>
  <c r="B59" i="3"/>
  <c r="Q58" i="3"/>
  <c r="P58" i="3"/>
  <c r="O58" i="3"/>
  <c r="N58" i="3"/>
  <c r="M58" i="3"/>
  <c r="L58" i="3"/>
  <c r="K58" i="3"/>
  <c r="J58" i="3"/>
  <c r="I58" i="3"/>
  <c r="H58" i="3"/>
  <c r="G58" i="3"/>
  <c r="F58" i="3"/>
  <c r="E58" i="3"/>
  <c r="D58" i="3"/>
  <c r="C58" i="3"/>
  <c r="B58" i="3"/>
  <c r="Q57" i="3"/>
  <c r="P57" i="3"/>
  <c r="O57" i="3"/>
  <c r="N57" i="3"/>
  <c r="M57" i="3"/>
  <c r="L57" i="3"/>
  <c r="K57" i="3"/>
  <c r="J57" i="3"/>
  <c r="I57" i="3"/>
  <c r="H57" i="3"/>
  <c r="G57" i="3"/>
  <c r="F57" i="3"/>
  <c r="E57" i="3"/>
  <c r="D57" i="3"/>
  <c r="C57" i="3"/>
  <c r="B57" i="3"/>
  <c r="Q56" i="3"/>
  <c r="P56" i="3"/>
  <c r="O56" i="3"/>
  <c r="N56" i="3"/>
  <c r="M56" i="3"/>
  <c r="L56" i="3"/>
  <c r="K56" i="3"/>
  <c r="J56" i="3"/>
  <c r="I56" i="3"/>
  <c r="H56" i="3"/>
  <c r="G56" i="3"/>
  <c r="F56" i="3"/>
  <c r="E56" i="3"/>
  <c r="D56" i="3"/>
  <c r="C56" i="3"/>
  <c r="B56" i="3"/>
  <c r="Q55" i="3"/>
  <c r="P55" i="3"/>
  <c r="O55" i="3"/>
  <c r="N55" i="3"/>
  <c r="M55" i="3"/>
  <c r="L55" i="3"/>
  <c r="K55" i="3"/>
  <c r="J55" i="3"/>
  <c r="I55" i="3"/>
  <c r="H55" i="3"/>
  <c r="G55" i="3"/>
  <c r="F55" i="3"/>
  <c r="E55" i="3"/>
  <c r="D55" i="3"/>
  <c r="C55" i="3"/>
  <c r="B55" i="3"/>
  <c r="Q54" i="3"/>
  <c r="P54" i="3"/>
  <c r="O54" i="3"/>
  <c r="N54" i="3"/>
  <c r="M54" i="3"/>
  <c r="L54" i="3"/>
  <c r="K54" i="3"/>
  <c r="J54" i="3"/>
  <c r="I54" i="3"/>
  <c r="H54" i="3"/>
  <c r="G54" i="3"/>
  <c r="F54" i="3"/>
  <c r="E54" i="3"/>
  <c r="D54" i="3"/>
  <c r="C54" i="3"/>
  <c r="B54" i="3"/>
  <c r="Q53" i="3"/>
  <c r="P53" i="3"/>
  <c r="O53" i="3"/>
  <c r="N53" i="3"/>
  <c r="M53" i="3"/>
  <c r="L53" i="3"/>
  <c r="K53" i="3"/>
  <c r="J53" i="3"/>
  <c r="I53" i="3"/>
  <c r="H53" i="3"/>
  <c r="G53" i="3"/>
  <c r="F53" i="3"/>
  <c r="E53" i="3"/>
  <c r="D53" i="3"/>
  <c r="C53" i="3"/>
  <c r="B53" i="3"/>
  <c r="Q52" i="3"/>
  <c r="P52" i="3"/>
  <c r="O52" i="3"/>
  <c r="N52" i="3"/>
  <c r="M52" i="3"/>
  <c r="L52" i="3"/>
  <c r="K52" i="3"/>
  <c r="J52" i="3"/>
  <c r="I52" i="3"/>
  <c r="H52" i="3"/>
  <c r="G52" i="3"/>
  <c r="F52" i="3"/>
  <c r="E52" i="3"/>
  <c r="D52" i="3"/>
  <c r="C52" i="3"/>
  <c r="B52" i="3"/>
  <c r="Q51" i="3"/>
  <c r="P51" i="3"/>
  <c r="O51" i="3"/>
  <c r="N51" i="3"/>
  <c r="M51" i="3"/>
  <c r="L51" i="3"/>
  <c r="K51" i="3"/>
  <c r="J51" i="3"/>
  <c r="I51" i="3"/>
  <c r="H51" i="3"/>
  <c r="G51" i="3"/>
  <c r="F51" i="3"/>
  <c r="E51" i="3"/>
  <c r="D51" i="3"/>
  <c r="C51" i="3"/>
  <c r="B51" i="3"/>
  <c r="Q50" i="3"/>
  <c r="P50" i="3"/>
  <c r="O50" i="3"/>
  <c r="N50" i="3"/>
  <c r="M50" i="3"/>
  <c r="L50" i="3"/>
  <c r="K50" i="3"/>
  <c r="J50" i="3"/>
  <c r="I50" i="3"/>
  <c r="H50" i="3"/>
  <c r="G50" i="3"/>
  <c r="F50" i="3"/>
  <c r="E50" i="3"/>
  <c r="D50" i="3"/>
  <c r="C50" i="3"/>
  <c r="B50" i="3"/>
  <c r="Q49" i="3"/>
  <c r="P49" i="3"/>
  <c r="O49" i="3"/>
  <c r="N49" i="3"/>
  <c r="M49" i="3"/>
  <c r="L49" i="3"/>
  <c r="K49" i="3"/>
  <c r="J49" i="3"/>
  <c r="I49" i="3"/>
  <c r="H49" i="3"/>
  <c r="G49" i="3"/>
  <c r="F49" i="3"/>
  <c r="E49" i="3"/>
  <c r="D49" i="3"/>
  <c r="C49" i="3"/>
  <c r="B49" i="3"/>
  <c r="Q48" i="3"/>
  <c r="P48" i="3"/>
  <c r="O48" i="3"/>
  <c r="N48" i="3"/>
  <c r="M48" i="3"/>
  <c r="L48" i="3"/>
  <c r="K48" i="3"/>
  <c r="J48" i="3"/>
  <c r="I48" i="3"/>
  <c r="H48" i="3"/>
  <c r="G48" i="3"/>
  <c r="F48" i="3"/>
  <c r="E48" i="3"/>
  <c r="D48" i="3"/>
  <c r="C48" i="3"/>
  <c r="B48" i="3"/>
  <c r="Q47" i="3"/>
  <c r="P47" i="3"/>
  <c r="O47" i="3"/>
  <c r="N47" i="3"/>
  <c r="M47" i="3"/>
  <c r="L47" i="3"/>
  <c r="K47" i="3"/>
  <c r="J47" i="3"/>
  <c r="I47" i="3"/>
  <c r="H47" i="3"/>
  <c r="G47" i="3"/>
  <c r="F47" i="3"/>
  <c r="E47" i="3"/>
  <c r="D47" i="3"/>
  <c r="C47" i="3"/>
  <c r="B47" i="3"/>
  <c r="Q46" i="3"/>
  <c r="P46" i="3"/>
  <c r="O46" i="3"/>
  <c r="N46" i="3"/>
  <c r="M46" i="3"/>
  <c r="L46" i="3"/>
  <c r="K46" i="3"/>
  <c r="J46" i="3"/>
  <c r="I46" i="3"/>
  <c r="H46" i="3"/>
  <c r="G46" i="3"/>
  <c r="F46" i="3"/>
  <c r="E46" i="3"/>
  <c r="D46" i="3"/>
  <c r="C46" i="3"/>
  <c r="B46" i="3"/>
  <c r="Q45" i="3"/>
  <c r="P45" i="3"/>
  <c r="O45" i="3"/>
  <c r="N45" i="3"/>
  <c r="M45" i="3"/>
  <c r="L45" i="3"/>
  <c r="K45" i="3"/>
  <c r="J45" i="3"/>
  <c r="I45" i="3"/>
  <c r="H45" i="3"/>
  <c r="G45" i="3"/>
  <c r="F45" i="3"/>
  <c r="E45" i="3"/>
  <c r="D45" i="3"/>
  <c r="C45" i="3"/>
  <c r="B45" i="3"/>
  <c r="Q44" i="3"/>
  <c r="P44" i="3"/>
  <c r="O44" i="3"/>
  <c r="N44" i="3"/>
  <c r="M44" i="3"/>
  <c r="L44" i="3"/>
  <c r="K44" i="3"/>
  <c r="J44" i="3"/>
  <c r="I44" i="3"/>
  <c r="H44" i="3"/>
  <c r="G44" i="3"/>
  <c r="F44" i="3"/>
  <c r="E44" i="3"/>
  <c r="D44" i="3"/>
  <c r="C44" i="3"/>
  <c r="B44" i="3"/>
  <c r="Q43" i="3"/>
  <c r="P43" i="3"/>
  <c r="O43" i="3"/>
  <c r="N43" i="3"/>
  <c r="M43" i="3"/>
  <c r="L43" i="3"/>
  <c r="K43" i="3"/>
  <c r="J43" i="3"/>
  <c r="I43" i="3"/>
  <c r="H43" i="3"/>
  <c r="G43" i="3"/>
  <c r="F43" i="3"/>
  <c r="E43" i="3"/>
  <c r="D43" i="3"/>
  <c r="C43" i="3"/>
  <c r="B43" i="3"/>
  <c r="Q42" i="3"/>
  <c r="P42" i="3"/>
  <c r="O42" i="3"/>
  <c r="N42" i="3"/>
  <c r="M42" i="3"/>
  <c r="L42" i="3"/>
  <c r="K42" i="3"/>
  <c r="J42" i="3"/>
  <c r="I42" i="3"/>
  <c r="H42" i="3"/>
  <c r="G42" i="3"/>
  <c r="F42" i="3"/>
  <c r="E42" i="3"/>
  <c r="D42" i="3"/>
  <c r="C42" i="3"/>
  <c r="B42" i="3"/>
  <c r="Q41" i="3"/>
  <c r="P41" i="3"/>
  <c r="O41" i="3"/>
  <c r="N41" i="3"/>
  <c r="M41" i="3"/>
  <c r="L41" i="3"/>
  <c r="K41" i="3"/>
  <c r="J41" i="3"/>
  <c r="I41" i="3"/>
  <c r="H41" i="3"/>
  <c r="G41" i="3"/>
  <c r="F41" i="3"/>
  <c r="E41" i="3"/>
  <c r="D41" i="3"/>
  <c r="C41" i="3"/>
  <c r="B41" i="3"/>
  <c r="Q40" i="3"/>
  <c r="P40" i="3"/>
  <c r="O40" i="3"/>
  <c r="N40" i="3"/>
  <c r="M40" i="3"/>
  <c r="L40" i="3"/>
  <c r="K40" i="3"/>
  <c r="J40" i="3"/>
  <c r="I40" i="3"/>
  <c r="H40" i="3"/>
  <c r="G40" i="3"/>
  <c r="F40" i="3"/>
  <c r="E40" i="3"/>
  <c r="D40" i="3"/>
  <c r="C40" i="3"/>
  <c r="B40" i="3"/>
  <c r="Q39" i="3"/>
  <c r="P39" i="3"/>
  <c r="O39" i="3"/>
  <c r="N39" i="3"/>
  <c r="M39" i="3"/>
  <c r="L39" i="3"/>
  <c r="K39" i="3"/>
  <c r="J39" i="3"/>
  <c r="I39" i="3"/>
  <c r="H39" i="3"/>
  <c r="G39" i="3"/>
  <c r="F39" i="3"/>
  <c r="E39" i="3"/>
  <c r="D39" i="3"/>
  <c r="C39" i="3"/>
  <c r="B39" i="3"/>
  <c r="Q38" i="3"/>
  <c r="P38" i="3"/>
  <c r="O38" i="3"/>
  <c r="N38" i="3"/>
  <c r="M38" i="3"/>
  <c r="L38" i="3"/>
  <c r="K38" i="3"/>
  <c r="J38" i="3"/>
  <c r="I38" i="3"/>
  <c r="H38" i="3"/>
  <c r="G38" i="3"/>
  <c r="F38" i="3"/>
  <c r="E38" i="3"/>
  <c r="D38" i="3"/>
  <c r="C38" i="3"/>
  <c r="B38" i="3"/>
  <c r="Q37" i="3"/>
  <c r="O37" i="3"/>
  <c r="N37" i="3"/>
  <c r="M37" i="3"/>
  <c r="L37" i="3"/>
  <c r="K37" i="3"/>
  <c r="J37" i="3"/>
  <c r="I37" i="3"/>
  <c r="H37" i="3"/>
  <c r="G37" i="3"/>
  <c r="F37" i="3"/>
  <c r="E37" i="3"/>
  <c r="D37" i="3"/>
  <c r="C37" i="3"/>
  <c r="B37" i="3"/>
  <c r="Q36" i="3"/>
  <c r="O36" i="3"/>
  <c r="N36" i="3"/>
  <c r="M36" i="3"/>
  <c r="L36" i="3"/>
  <c r="K36" i="3"/>
  <c r="J36" i="3"/>
  <c r="I36" i="3"/>
  <c r="H36" i="3"/>
  <c r="G36" i="3"/>
  <c r="F36" i="3"/>
  <c r="E36" i="3"/>
  <c r="D36" i="3"/>
  <c r="C36" i="3"/>
  <c r="B36" i="3"/>
  <c r="Q35" i="3"/>
  <c r="O35" i="3"/>
  <c r="N35" i="3"/>
  <c r="M35" i="3"/>
  <c r="L35" i="3"/>
  <c r="K35" i="3"/>
  <c r="J35" i="3"/>
  <c r="I35" i="3"/>
  <c r="H35" i="3"/>
  <c r="G35" i="3"/>
  <c r="F35" i="3"/>
  <c r="E35" i="3"/>
  <c r="D35" i="3"/>
  <c r="C35" i="3"/>
  <c r="B35" i="3"/>
  <c r="Q34" i="3"/>
  <c r="L34" i="3"/>
  <c r="I34" i="3"/>
  <c r="F34" i="3"/>
  <c r="D34" i="3"/>
  <c r="C34" i="3"/>
  <c r="B34" i="3"/>
  <c r="Q33" i="3"/>
  <c r="D33" i="3"/>
  <c r="C33" i="3"/>
  <c r="B33" i="3"/>
  <c r="Q32" i="3"/>
  <c r="D32" i="3"/>
  <c r="C32" i="3"/>
  <c r="B32" i="3"/>
  <c r="Q31" i="3"/>
  <c r="D31" i="3"/>
  <c r="C31" i="3"/>
  <c r="B31" i="3"/>
  <c r="Q30" i="3"/>
  <c r="D30" i="3"/>
  <c r="C30" i="3"/>
  <c r="B30" i="3"/>
  <c r="Q29" i="3"/>
  <c r="D29" i="3"/>
  <c r="C29" i="3"/>
  <c r="B29" i="3"/>
  <c r="Q28" i="3"/>
  <c r="D28" i="3"/>
  <c r="C28" i="3"/>
  <c r="B28" i="3"/>
  <c r="Q27" i="3"/>
  <c r="D27" i="3"/>
  <c r="C27" i="3"/>
  <c r="B27" i="3"/>
  <c r="Q26" i="3"/>
  <c r="D26" i="3"/>
  <c r="C26" i="3"/>
  <c r="B26" i="3"/>
  <c r="Q25" i="3"/>
  <c r="D25" i="3"/>
  <c r="C25" i="3"/>
  <c r="B25" i="3"/>
  <c r="Q24" i="3"/>
  <c r="D24" i="3"/>
  <c r="C24" i="3"/>
  <c r="B24" i="3"/>
  <c r="Q23" i="3"/>
  <c r="D23" i="3"/>
  <c r="C23" i="3"/>
  <c r="B23" i="3"/>
  <c r="Q22" i="3"/>
  <c r="D22" i="3"/>
  <c r="C22" i="3"/>
  <c r="B22" i="3"/>
  <c r="Q21" i="3"/>
  <c r="D21" i="3"/>
  <c r="C21" i="3"/>
  <c r="B21" i="3"/>
  <c r="Q20" i="3"/>
  <c r="D20" i="3"/>
  <c r="C20" i="3"/>
  <c r="B20" i="3"/>
  <c r="Q19" i="3"/>
  <c r="D19" i="3"/>
  <c r="C19" i="3"/>
  <c r="B19" i="3"/>
  <c r="Q18" i="3"/>
  <c r="D18" i="3"/>
  <c r="C18" i="3"/>
  <c r="B18" i="3"/>
  <c r="Q17" i="3"/>
  <c r="D17" i="3"/>
  <c r="C17" i="3"/>
  <c r="B17" i="3"/>
  <c r="Q16" i="3"/>
  <c r="D16" i="3"/>
  <c r="C16" i="3"/>
  <c r="B16" i="3"/>
  <c r="Q15" i="3"/>
  <c r="D15" i="3"/>
  <c r="C15" i="3"/>
  <c r="B15" i="3"/>
  <c r="Q14" i="3"/>
  <c r="D14" i="3"/>
  <c r="C14" i="3"/>
  <c r="B14" i="3"/>
  <c r="Q13" i="3"/>
  <c r="D13" i="3"/>
  <c r="C13" i="3"/>
  <c r="B13" i="3"/>
  <c r="Q12" i="3"/>
  <c r="D12" i="3"/>
  <c r="C12" i="3"/>
  <c r="B12" i="3"/>
  <c r="Q11" i="3"/>
  <c r="D11" i="3"/>
  <c r="C11" i="3"/>
  <c r="B11" i="3"/>
  <c r="Q10" i="3"/>
  <c r="D10" i="3"/>
  <c r="C10" i="3"/>
  <c r="B10" i="3"/>
  <c r="Q9" i="3"/>
  <c r="D9" i="3"/>
  <c r="C9" i="3"/>
  <c r="B9" i="3"/>
  <c r="E6" i="3"/>
  <c r="C6" i="3"/>
  <c r="C5" i="3"/>
  <c r="Y110" i="7"/>
  <c r="U110" i="7"/>
  <c r="Q110" i="7"/>
  <c r="P110" i="7"/>
  <c r="M110" i="7"/>
  <c r="J110" i="7"/>
  <c r="I110" i="7"/>
  <c r="E110" i="7"/>
  <c r="D110" i="7"/>
  <c r="C110" i="7"/>
  <c r="B110" i="7"/>
  <c r="Y109" i="7"/>
  <c r="U109" i="7"/>
  <c r="Q109" i="7"/>
  <c r="P109" i="7"/>
  <c r="M109" i="7"/>
  <c r="J109" i="7"/>
  <c r="I109" i="7"/>
  <c r="E109" i="7"/>
  <c r="D109" i="7"/>
  <c r="C109" i="7"/>
  <c r="B109" i="7"/>
  <c r="A109" i="7"/>
  <c r="Y108" i="7"/>
  <c r="U108" i="7"/>
  <c r="Q108" i="7"/>
  <c r="P108" i="7"/>
  <c r="M108" i="7"/>
  <c r="J108" i="7"/>
  <c r="I108" i="7"/>
  <c r="E108" i="7"/>
  <c r="D108" i="7"/>
  <c r="C108" i="7"/>
  <c r="B108" i="7"/>
  <c r="A108" i="7"/>
  <c r="Y107" i="7"/>
  <c r="U107" i="7"/>
  <c r="Q107" i="7"/>
  <c r="P107" i="7"/>
  <c r="M107" i="7"/>
  <c r="J107" i="7"/>
  <c r="I107" i="7"/>
  <c r="E107" i="7"/>
  <c r="D107" i="7"/>
  <c r="C107" i="7"/>
  <c r="B107" i="7"/>
  <c r="A107" i="7"/>
  <c r="Y106" i="7"/>
  <c r="U106" i="7"/>
  <c r="Q106" i="7"/>
  <c r="P106" i="7"/>
  <c r="M106" i="7"/>
  <c r="J106" i="7"/>
  <c r="I106" i="7"/>
  <c r="E106" i="7"/>
  <c r="D106" i="7"/>
  <c r="C106" i="7"/>
  <c r="B106" i="7"/>
  <c r="A106" i="7"/>
  <c r="Y105" i="7"/>
  <c r="U105" i="7"/>
  <c r="Q105" i="7"/>
  <c r="P105" i="7"/>
  <c r="M105" i="7"/>
  <c r="J105" i="7"/>
  <c r="I105" i="7"/>
  <c r="E105" i="7"/>
  <c r="D105" i="7"/>
  <c r="C105" i="7"/>
  <c r="B105" i="7"/>
  <c r="A105" i="7"/>
  <c r="Y104" i="7"/>
  <c r="U104" i="7"/>
  <c r="Q104" i="7"/>
  <c r="P104" i="7"/>
  <c r="M104" i="7"/>
  <c r="J104" i="7"/>
  <c r="I104" i="7"/>
  <c r="E104" i="7"/>
  <c r="D104" i="7"/>
  <c r="C104" i="7"/>
  <c r="B104" i="7"/>
  <c r="A104" i="7"/>
  <c r="Y103" i="7"/>
  <c r="U103" i="7"/>
  <c r="Q103" i="7"/>
  <c r="P103" i="7"/>
  <c r="M103" i="7"/>
  <c r="J103" i="7"/>
  <c r="I103" i="7"/>
  <c r="E103" i="7"/>
  <c r="D103" i="7"/>
  <c r="C103" i="7"/>
  <c r="B103" i="7"/>
  <c r="A103" i="7"/>
  <c r="Y102" i="7"/>
  <c r="U102" i="7"/>
  <c r="Q102" i="7"/>
  <c r="P102" i="7"/>
  <c r="M102" i="7"/>
  <c r="J102" i="7"/>
  <c r="I102" i="7"/>
  <c r="E102" i="7"/>
  <c r="D102" i="7"/>
  <c r="C102" i="7"/>
  <c r="B102" i="7"/>
  <c r="A102" i="7"/>
  <c r="Y101" i="7"/>
  <c r="U101" i="7"/>
  <c r="Q101" i="7"/>
  <c r="P101" i="7"/>
  <c r="M101" i="7"/>
  <c r="J101" i="7"/>
  <c r="I101" i="7"/>
  <c r="E101" i="7"/>
  <c r="D101" i="7"/>
  <c r="C101" i="7"/>
  <c r="B101" i="7"/>
  <c r="A101" i="7"/>
  <c r="Y100" i="7"/>
  <c r="U100" i="7"/>
  <c r="Q100" i="7"/>
  <c r="P100" i="7"/>
  <c r="M100" i="7"/>
  <c r="J100" i="7"/>
  <c r="I100" i="7"/>
  <c r="E100" i="7"/>
  <c r="D100" i="7"/>
  <c r="C100" i="7"/>
  <c r="B100" i="7"/>
  <c r="A100" i="7"/>
  <c r="Y99" i="7"/>
  <c r="U99" i="7"/>
  <c r="Q99" i="7"/>
  <c r="P99" i="7"/>
  <c r="M99" i="7"/>
  <c r="J99" i="7"/>
  <c r="I99" i="7"/>
  <c r="E99" i="7"/>
  <c r="D99" i="7"/>
  <c r="C99" i="7"/>
  <c r="B99" i="7"/>
  <c r="A99" i="7"/>
  <c r="Y98" i="7"/>
  <c r="U98" i="7"/>
  <c r="Q98" i="7"/>
  <c r="P98" i="7"/>
  <c r="M98" i="7"/>
  <c r="J98" i="7"/>
  <c r="I98" i="7"/>
  <c r="E98" i="7"/>
  <c r="D98" i="7"/>
  <c r="C98" i="7"/>
  <c r="B98" i="7"/>
  <c r="A98" i="7"/>
  <c r="Y97" i="7"/>
  <c r="U97" i="7"/>
  <c r="Q97" i="7"/>
  <c r="P97" i="7"/>
  <c r="M97" i="7"/>
  <c r="J97" i="7"/>
  <c r="I97" i="7"/>
  <c r="E97" i="7"/>
  <c r="D97" i="7"/>
  <c r="C97" i="7"/>
  <c r="B97" i="7"/>
  <c r="A97" i="7"/>
  <c r="Y96" i="7"/>
  <c r="U96" i="7"/>
  <c r="Q96" i="7"/>
  <c r="P96" i="7"/>
  <c r="M96" i="7"/>
  <c r="J96" i="7"/>
  <c r="I96" i="7"/>
  <c r="E96" i="7"/>
  <c r="D96" i="7"/>
  <c r="C96" i="7"/>
  <c r="B96" i="7"/>
  <c r="A96" i="7"/>
  <c r="Y95" i="7"/>
  <c r="U95" i="7"/>
  <c r="Q95" i="7"/>
  <c r="P95" i="7"/>
  <c r="M95" i="7"/>
  <c r="J95" i="7"/>
  <c r="I95" i="7"/>
  <c r="E95" i="7"/>
  <c r="D95" i="7"/>
  <c r="C95" i="7"/>
  <c r="B95" i="7"/>
  <c r="A95" i="7"/>
  <c r="Y94" i="7"/>
  <c r="U94" i="7"/>
  <c r="Q94" i="7"/>
  <c r="P94" i="7"/>
  <c r="M94" i="7"/>
  <c r="J94" i="7"/>
  <c r="I94" i="7"/>
  <c r="E94" i="7"/>
  <c r="D94" i="7"/>
  <c r="C94" i="7"/>
  <c r="B94" i="7"/>
  <c r="A94" i="7"/>
  <c r="Y93" i="7"/>
  <c r="U93" i="7"/>
  <c r="Q93" i="7"/>
  <c r="P93" i="7"/>
  <c r="M93" i="7"/>
  <c r="J93" i="7"/>
  <c r="I93" i="7"/>
  <c r="E93" i="7"/>
  <c r="D93" i="7"/>
  <c r="C93" i="7"/>
  <c r="B93" i="7"/>
  <c r="A93" i="7"/>
  <c r="Y92" i="7"/>
  <c r="U92" i="7"/>
  <c r="Q92" i="7"/>
  <c r="P92" i="7"/>
  <c r="M92" i="7"/>
  <c r="J92" i="7"/>
  <c r="I92" i="7"/>
  <c r="E92" i="7"/>
  <c r="D92" i="7"/>
  <c r="C92" i="7"/>
  <c r="B92" i="7"/>
  <c r="A92" i="7"/>
  <c r="Y91" i="7"/>
  <c r="U91" i="7"/>
  <c r="Q91" i="7"/>
  <c r="P91" i="7"/>
  <c r="M91" i="7"/>
  <c r="J91" i="7"/>
  <c r="I91" i="7"/>
  <c r="E91" i="7"/>
  <c r="D91" i="7"/>
  <c r="C91" i="7"/>
  <c r="B91" i="7"/>
  <c r="A91" i="7"/>
  <c r="Y90" i="7"/>
  <c r="U90" i="7"/>
  <c r="Q90" i="7"/>
  <c r="P90" i="7"/>
  <c r="M90" i="7"/>
  <c r="J90" i="7"/>
  <c r="I90" i="7"/>
  <c r="E90" i="7"/>
  <c r="D90" i="7"/>
  <c r="C90" i="7"/>
  <c r="B90" i="7"/>
  <c r="A90" i="7"/>
  <c r="Y89" i="7"/>
  <c r="U89" i="7"/>
  <c r="Q89" i="7"/>
  <c r="P89" i="7"/>
  <c r="M89" i="7"/>
  <c r="J89" i="7"/>
  <c r="I89" i="7"/>
  <c r="E89" i="7"/>
  <c r="D89" i="7"/>
  <c r="C89" i="7"/>
  <c r="B89" i="7"/>
  <c r="A89" i="7"/>
  <c r="Y88" i="7"/>
  <c r="U88" i="7"/>
  <c r="Q88" i="7"/>
  <c r="P88" i="7"/>
  <c r="M88" i="7"/>
  <c r="J88" i="7"/>
  <c r="I88" i="7"/>
  <c r="E88" i="7"/>
  <c r="D88" i="7"/>
  <c r="C88" i="7"/>
  <c r="B88" i="7"/>
  <c r="A88" i="7"/>
  <c r="Y87" i="7"/>
  <c r="U87" i="7"/>
  <c r="Q87" i="7"/>
  <c r="P87" i="7"/>
  <c r="M87" i="7"/>
  <c r="J87" i="7"/>
  <c r="I87" i="7"/>
  <c r="E87" i="7"/>
  <c r="D87" i="7"/>
  <c r="C87" i="7"/>
  <c r="B87" i="7"/>
  <c r="A87" i="7"/>
  <c r="Y86" i="7"/>
  <c r="U86" i="7"/>
  <c r="Q86" i="7"/>
  <c r="P86" i="7"/>
  <c r="M86" i="7"/>
  <c r="J86" i="7"/>
  <c r="I86" i="7"/>
  <c r="E86" i="7"/>
  <c r="D86" i="7"/>
  <c r="C86" i="7"/>
  <c r="B86" i="7"/>
  <c r="A86" i="7"/>
  <c r="Y85" i="7"/>
  <c r="U85" i="7"/>
  <c r="Q85" i="7"/>
  <c r="P85" i="7"/>
  <c r="M85" i="7"/>
  <c r="J85" i="7"/>
  <c r="I85" i="7"/>
  <c r="E85" i="7"/>
  <c r="D85" i="7"/>
  <c r="C85" i="7"/>
  <c r="B85" i="7"/>
  <c r="A85" i="7"/>
  <c r="Y84" i="7"/>
  <c r="U84" i="7"/>
  <c r="Q84" i="7"/>
  <c r="P84" i="7"/>
  <c r="M84" i="7"/>
  <c r="J84" i="7"/>
  <c r="I84" i="7"/>
  <c r="E84" i="7"/>
  <c r="D84" i="7"/>
  <c r="C84" i="7"/>
  <c r="B84" i="7"/>
  <c r="A84" i="7"/>
  <c r="Y83" i="7"/>
  <c r="U83" i="7"/>
  <c r="Q83" i="7"/>
  <c r="P83" i="7"/>
  <c r="M83" i="7"/>
  <c r="J83" i="7"/>
  <c r="I83" i="7"/>
  <c r="E83" i="7"/>
  <c r="D83" i="7"/>
  <c r="C83" i="7"/>
  <c r="B83" i="7"/>
  <c r="A83" i="7"/>
  <c r="Y82" i="7"/>
  <c r="U82" i="7"/>
  <c r="Q82" i="7"/>
  <c r="P82" i="7"/>
  <c r="M82" i="7"/>
  <c r="J82" i="7"/>
  <c r="I82" i="7"/>
  <c r="E82" i="7"/>
  <c r="D82" i="7"/>
  <c r="C82" i="7"/>
  <c r="B82" i="7"/>
  <c r="A82" i="7"/>
  <c r="Y81" i="7"/>
  <c r="U81" i="7"/>
  <c r="Q81" i="7"/>
  <c r="P81" i="7"/>
  <c r="M81" i="7"/>
  <c r="J81" i="7"/>
  <c r="I81" i="7"/>
  <c r="E81" i="7"/>
  <c r="D81" i="7"/>
  <c r="C81" i="7"/>
  <c r="B81" i="7"/>
  <c r="A81" i="7"/>
  <c r="Y80" i="7"/>
  <c r="U80" i="7"/>
  <c r="Q80" i="7"/>
  <c r="P80" i="7"/>
  <c r="M80" i="7"/>
  <c r="J80" i="7"/>
  <c r="I80" i="7"/>
  <c r="E80" i="7"/>
  <c r="D80" i="7"/>
  <c r="C80" i="7"/>
  <c r="B80" i="7"/>
  <c r="A80" i="7"/>
  <c r="Y79" i="7"/>
  <c r="U79" i="7"/>
  <c r="Q79" i="7"/>
  <c r="P79" i="7"/>
  <c r="M79" i="7"/>
  <c r="J79" i="7"/>
  <c r="I79" i="7"/>
  <c r="E79" i="7"/>
  <c r="D79" i="7"/>
  <c r="C79" i="7"/>
  <c r="B79" i="7"/>
  <c r="A79" i="7"/>
  <c r="Y78" i="7"/>
  <c r="U78" i="7"/>
  <c r="Q78" i="7"/>
  <c r="P78" i="7"/>
  <c r="M78" i="7"/>
  <c r="J78" i="7"/>
  <c r="I78" i="7"/>
  <c r="E78" i="7"/>
  <c r="D78" i="7"/>
  <c r="C78" i="7"/>
  <c r="B78" i="7"/>
  <c r="A78" i="7"/>
  <c r="Y77" i="7"/>
  <c r="U77" i="7"/>
  <c r="Q77" i="7"/>
  <c r="P77" i="7"/>
  <c r="M77" i="7"/>
  <c r="J77" i="7"/>
  <c r="I77" i="7"/>
  <c r="E77" i="7"/>
  <c r="D77" i="7"/>
  <c r="C77" i="7"/>
  <c r="B77" i="7"/>
  <c r="A77" i="7"/>
  <c r="Y76" i="7"/>
  <c r="U76" i="7"/>
  <c r="Q76" i="7"/>
  <c r="P76" i="7"/>
  <c r="M76" i="7"/>
  <c r="J76" i="7"/>
  <c r="I76" i="7"/>
  <c r="E76" i="7"/>
  <c r="D76" i="7"/>
  <c r="C76" i="7"/>
  <c r="B76" i="7"/>
  <c r="A76" i="7"/>
  <c r="Y75" i="7"/>
  <c r="U75" i="7"/>
  <c r="Q75" i="7"/>
  <c r="P75" i="7"/>
  <c r="M75" i="7"/>
  <c r="J75" i="7"/>
  <c r="I75" i="7"/>
  <c r="E75" i="7"/>
  <c r="D75" i="7"/>
  <c r="C75" i="7"/>
  <c r="B75" i="7"/>
  <c r="A75" i="7"/>
  <c r="Y74" i="7"/>
  <c r="U74" i="7"/>
  <c r="Q74" i="7"/>
  <c r="P74" i="7"/>
  <c r="M74" i="7"/>
  <c r="J74" i="7"/>
  <c r="I74" i="7"/>
  <c r="E74" i="7"/>
  <c r="D74" i="7"/>
  <c r="C74" i="7"/>
  <c r="B74" i="7"/>
  <c r="A74" i="7"/>
  <c r="Y73" i="7"/>
  <c r="U73" i="7"/>
  <c r="Q73" i="7"/>
  <c r="P73" i="7"/>
  <c r="M73" i="7"/>
  <c r="J73" i="7"/>
  <c r="I73" i="7"/>
  <c r="E73" i="7"/>
  <c r="D73" i="7"/>
  <c r="C73" i="7"/>
  <c r="B73" i="7"/>
  <c r="A73" i="7"/>
  <c r="Y72" i="7"/>
  <c r="U72" i="7"/>
  <c r="Q72" i="7"/>
  <c r="P72" i="7"/>
  <c r="M72" i="7"/>
  <c r="J72" i="7"/>
  <c r="I72" i="7"/>
  <c r="E72" i="7"/>
  <c r="D72" i="7"/>
  <c r="C72" i="7"/>
  <c r="B72" i="7"/>
  <c r="A72" i="7"/>
  <c r="Y71" i="7"/>
  <c r="U71" i="7"/>
  <c r="Q71" i="7"/>
  <c r="P71" i="7"/>
  <c r="M71" i="7"/>
  <c r="J71" i="7"/>
  <c r="I71" i="7"/>
  <c r="E71" i="7"/>
  <c r="D71" i="7"/>
  <c r="C71" i="7"/>
  <c r="B71" i="7"/>
  <c r="A71" i="7"/>
  <c r="Y70" i="7"/>
  <c r="U70" i="7"/>
  <c r="Q70" i="7"/>
  <c r="P70" i="7"/>
  <c r="M70" i="7"/>
  <c r="J70" i="7"/>
  <c r="I70" i="7"/>
  <c r="E70" i="7"/>
  <c r="D70" i="7"/>
  <c r="C70" i="7"/>
  <c r="B70" i="7"/>
  <c r="A70" i="7"/>
  <c r="Y69" i="7"/>
  <c r="U69" i="7"/>
  <c r="Q69" i="7"/>
  <c r="P69" i="7"/>
  <c r="M69" i="7"/>
  <c r="J69" i="7"/>
  <c r="I69" i="7"/>
  <c r="E69" i="7"/>
  <c r="D69" i="7"/>
  <c r="C69" i="7"/>
  <c r="B69" i="7"/>
  <c r="Y68" i="7"/>
  <c r="U68" i="7"/>
  <c r="Q68" i="7"/>
  <c r="P68" i="7"/>
  <c r="M68" i="7"/>
  <c r="J68" i="7"/>
  <c r="I68" i="7"/>
  <c r="E68" i="7"/>
  <c r="D68" i="7"/>
  <c r="C68" i="7"/>
  <c r="B68" i="7"/>
  <c r="Y67" i="7"/>
  <c r="U67" i="7"/>
  <c r="Q67" i="7"/>
  <c r="P67" i="7"/>
  <c r="M67" i="7"/>
  <c r="J67" i="7"/>
  <c r="I67" i="7"/>
  <c r="E67" i="7"/>
  <c r="D67" i="7"/>
  <c r="C67" i="7"/>
  <c r="B67" i="7"/>
  <c r="Y66" i="7"/>
  <c r="U66" i="7"/>
  <c r="Q66" i="7"/>
  <c r="P66" i="7"/>
  <c r="M66" i="7"/>
  <c r="J66" i="7"/>
  <c r="I66" i="7"/>
  <c r="E66" i="7"/>
  <c r="D66" i="7"/>
  <c r="C66" i="7"/>
  <c r="B66" i="7"/>
  <c r="Y65" i="7"/>
  <c r="U65" i="7"/>
  <c r="Q65" i="7"/>
  <c r="P65" i="7"/>
  <c r="M65" i="7"/>
  <c r="J65" i="7"/>
  <c r="I65" i="7"/>
  <c r="E65" i="7"/>
  <c r="D65" i="7"/>
  <c r="C65" i="7"/>
  <c r="B65" i="7"/>
  <c r="Y64" i="7"/>
  <c r="U64" i="7"/>
  <c r="Q64" i="7"/>
  <c r="P64" i="7"/>
  <c r="M64" i="7"/>
  <c r="J64" i="7"/>
  <c r="I64" i="7"/>
  <c r="E64" i="7"/>
  <c r="D64" i="7"/>
  <c r="C64" i="7"/>
  <c r="B64" i="7"/>
  <c r="Y63" i="7"/>
  <c r="U63" i="7"/>
  <c r="Q63" i="7"/>
  <c r="P63" i="7"/>
  <c r="M63" i="7"/>
  <c r="J63" i="7"/>
  <c r="I63" i="7"/>
  <c r="E63" i="7"/>
  <c r="D63" i="7"/>
  <c r="C63" i="7"/>
  <c r="B63" i="7"/>
  <c r="Y62" i="7"/>
  <c r="U62" i="7"/>
  <c r="Q62" i="7"/>
  <c r="P62" i="7"/>
  <c r="M62" i="7"/>
  <c r="J62" i="7"/>
  <c r="I62" i="7"/>
  <c r="E62" i="7"/>
  <c r="D62" i="7"/>
  <c r="C62" i="7"/>
  <c r="B62" i="7"/>
  <c r="Y61" i="7"/>
  <c r="U61" i="7"/>
  <c r="Q61" i="7"/>
  <c r="P61" i="7"/>
  <c r="M61" i="7"/>
  <c r="J61" i="7"/>
  <c r="I61" i="7"/>
  <c r="E61" i="7"/>
  <c r="D61" i="7"/>
  <c r="C61" i="7"/>
  <c r="B61" i="7"/>
  <c r="Y60" i="7"/>
  <c r="U60" i="7"/>
  <c r="Q60" i="7"/>
  <c r="P60" i="7"/>
  <c r="M60" i="7"/>
  <c r="J60" i="7"/>
  <c r="I60" i="7"/>
  <c r="E60" i="7"/>
  <c r="D60" i="7"/>
  <c r="C60" i="7"/>
  <c r="B60" i="7"/>
  <c r="Y59" i="7"/>
  <c r="U59" i="7"/>
  <c r="Q59" i="7"/>
  <c r="P59" i="7"/>
  <c r="M59" i="7"/>
  <c r="J59" i="7"/>
  <c r="I59" i="7"/>
  <c r="E59" i="7"/>
  <c r="D59" i="7"/>
  <c r="C59" i="7"/>
  <c r="B59" i="7"/>
  <c r="Y58" i="7"/>
  <c r="U58" i="7"/>
  <c r="Q58" i="7"/>
  <c r="P58" i="7"/>
  <c r="M58" i="7"/>
  <c r="J58" i="7"/>
  <c r="I58" i="7"/>
  <c r="E58" i="7"/>
  <c r="D58" i="7"/>
  <c r="C58" i="7"/>
  <c r="B58" i="7"/>
  <c r="Y57" i="7"/>
  <c r="U57" i="7"/>
  <c r="Q57" i="7"/>
  <c r="P57" i="7"/>
  <c r="M57" i="7"/>
  <c r="J57" i="7"/>
  <c r="I57" i="7"/>
  <c r="E57" i="7"/>
  <c r="D57" i="7"/>
  <c r="C57" i="7"/>
  <c r="B57" i="7"/>
  <c r="Y56" i="7"/>
  <c r="U56" i="7"/>
  <c r="Q56" i="7"/>
  <c r="P56" i="7"/>
  <c r="M56" i="7"/>
  <c r="J56" i="7"/>
  <c r="I56" i="7"/>
  <c r="E56" i="7"/>
  <c r="D56" i="7"/>
  <c r="C56" i="7"/>
  <c r="B56" i="7"/>
  <c r="Y55" i="7"/>
  <c r="U55" i="7"/>
  <c r="Q55" i="7"/>
  <c r="P55" i="7"/>
  <c r="M55" i="7"/>
  <c r="J55" i="7"/>
  <c r="I55" i="7"/>
  <c r="E55" i="7"/>
  <c r="D55" i="7"/>
  <c r="C55" i="7"/>
  <c r="B55" i="7"/>
  <c r="Y54" i="7"/>
  <c r="U54" i="7"/>
  <c r="Q54" i="7"/>
  <c r="P54" i="7"/>
  <c r="M54" i="7"/>
  <c r="J54" i="7"/>
  <c r="I54" i="7"/>
  <c r="E54" i="7"/>
  <c r="D54" i="7"/>
  <c r="C54" i="7"/>
  <c r="B54" i="7"/>
  <c r="Y53" i="7"/>
  <c r="U53" i="7"/>
  <c r="Q53" i="7"/>
  <c r="P53" i="7"/>
  <c r="M53" i="7"/>
  <c r="J53" i="7"/>
  <c r="I53" i="7"/>
  <c r="E53" i="7"/>
  <c r="D53" i="7"/>
  <c r="C53" i="7"/>
  <c r="B53" i="7"/>
  <c r="Y52" i="7"/>
  <c r="U52" i="7"/>
  <c r="Q52" i="7"/>
  <c r="P52" i="7"/>
  <c r="M52" i="7"/>
  <c r="J52" i="7"/>
  <c r="I52" i="7"/>
  <c r="E52" i="7"/>
  <c r="D52" i="7"/>
  <c r="C52" i="7"/>
  <c r="B52" i="7"/>
  <c r="Y51" i="7"/>
  <c r="U51" i="7"/>
  <c r="Q51" i="7"/>
  <c r="P51" i="7"/>
  <c r="M51" i="7"/>
  <c r="J51" i="7"/>
  <c r="I51" i="7"/>
  <c r="E51" i="7"/>
  <c r="D51" i="7"/>
  <c r="C51" i="7"/>
  <c r="B51" i="7"/>
  <c r="Y50" i="7"/>
  <c r="U50" i="7"/>
  <c r="Q50" i="7"/>
  <c r="P50" i="7"/>
  <c r="M50" i="7"/>
  <c r="J50" i="7"/>
  <c r="I50" i="7"/>
  <c r="E50" i="7"/>
  <c r="D50" i="7"/>
  <c r="C50" i="7"/>
  <c r="B50" i="7"/>
  <c r="Y49" i="7"/>
  <c r="U49" i="7"/>
  <c r="Q49" i="7"/>
  <c r="P49" i="7"/>
  <c r="M49" i="7"/>
  <c r="J49" i="7"/>
  <c r="I49" i="7"/>
  <c r="E49" i="7"/>
  <c r="D49" i="7"/>
  <c r="C49" i="7"/>
  <c r="B49" i="7"/>
  <c r="Y48" i="7"/>
  <c r="U48" i="7"/>
  <c r="Q48" i="7"/>
  <c r="P48" i="7"/>
  <c r="M48" i="7"/>
  <c r="J48" i="7"/>
  <c r="I48" i="7"/>
  <c r="E48" i="7"/>
  <c r="D48" i="7"/>
  <c r="C48" i="7"/>
  <c r="B48" i="7"/>
  <c r="Y47" i="7"/>
  <c r="U47" i="7"/>
  <c r="Q47" i="7"/>
  <c r="P47" i="7"/>
  <c r="M47" i="7"/>
  <c r="J47" i="7"/>
  <c r="I47" i="7"/>
  <c r="E47" i="7"/>
  <c r="D47" i="7"/>
  <c r="C47" i="7"/>
  <c r="B47" i="7"/>
  <c r="Y46" i="7"/>
  <c r="U46" i="7"/>
  <c r="Q46" i="7"/>
  <c r="P46" i="7"/>
  <c r="M46" i="7"/>
  <c r="J46" i="7"/>
  <c r="I46" i="7"/>
  <c r="E46" i="7"/>
  <c r="D46" i="7"/>
  <c r="C46" i="7"/>
  <c r="B46" i="7"/>
  <c r="Y45" i="7"/>
  <c r="U45" i="7"/>
  <c r="Q45" i="7"/>
  <c r="P45" i="7"/>
  <c r="M45" i="7"/>
  <c r="J45" i="7"/>
  <c r="I45" i="7"/>
  <c r="E45" i="7"/>
  <c r="D45" i="7"/>
  <c r="C45" i="7"/>
  <c r="B45" i="7"/>
  <c r="Y44" i="7"/>
  <c r="U44" i="7"/>
  <c r="Q44" i="7"/>
  <c r="P44" i="7"/>
  <c r="M44" i="7"/>
  <c r="J44" i="7"/>
  <c r="I44" i="7"/>
  <c r="E44" i="7"/>
  <c r="D44" i="7"/>
  <c r="C44" i="7"/>
  <c r="B44" i="7"/>
  <c r="Y43" i="7"/>
  <c r="U43" i="7"/>
  <c r="Q43" i="7"/>
  <c r="P43" i="7"/>
  <c r="M43" i="7"/>
  <c r="J43" i="7"/>
  <c r="I43" i="7"/>
  <c r="E43" i="7"/>
  <c r="D43" i="7"/>
  <c r="C43" i="7"/>
  <c r="B43" i="7"/>
  <c r="Y42" i="7"/>
  <c r="U42" i="7"/>
  <c r="Q42" i="7"/>
  <c r="P42" i="7"/>
  <c r="M42" i="7"/>
  <c r="J42" i="7"/>
  <c r="I42" i="7"/>
  <c r="E42" i="7"/>
  <c r="D42" i="7"/>
  <c r="C42" i="7"/>
  <c r="B42" i="7"/>
  <c r="Y41" i="7"/>
  <c r="U41" i="7"/>
  <c r="Q41" i="7"/>
  <c r="P41" i="7"/>
  <c r="M41" i="7"/>
  <c r="J41" i="7"/>
  <c r="I41" i="7"/>
  <c r="E41" i="7"/>
  <c r="D41" i="7"/>
  <c r="C41" i="7"/>
  <c r="B41" i="7"/>
  <c r="Y40" i="7"/>
  <c r="U40" i="7"/>
  <c r="Q40" i="7"/>
  <c r="P40" i="7"/>
  <c r="M40" i="7"/>
  <c r="J40" i="7"/>
  <c r="I40" i="7"/>
  <c r="E40" i="7"/>
  <c r="D40" i="7"/>
  <c r="C40" i="7"/>
  <c r="B40" i="7"/>
  <c r="Y39" i="7"/>
  <c r="U39" i="7"/>
  <c r="P37" i="3" s="1"/>
  <c r="Q39" i="7"/>
  <c r="P39" i="7"/>
  <c r="M39" i="7"/>
  <c r="J39" i="7"/>
  <c r="I39" i="7"/>
  <c r="E39" i="7"/>
  <c r="D39" i="7"/>
  <c r="C39" i="7"/>
  <c r="B39" i="7"/>
  <c r="Y38" i="7"/>
  <c r="U38" i="7"/>
  <c r="P36" i="3" s="1"/>
  <c r="Q38" i="7"/>
  <c r="P38" i="7"/>
  <c r="M38" i="7"/>
  <c r="J38" i="7"/>
  <c r="I38" i="7"/>
  <c r="E38" i="7"/>
  <c r="D38" i="7"/>
  <c r="C38" i="7"/>
  <c r="B38" i="7"/>
  <c r="Y37" i="7"/>
  <c r="U37" i="7"/>
  <c r="P35" i="3" s="1"/>
  <c r="Q37" i="7"/>
  <c r="M37" i="7"/>
  <c r="P37" i="7" s="1"/>
  <c r="J37" i="7"/>
  <c r="I37" i="7"/>
  <c r="E37" i="7"/>
  <c r="D37" i="7"/>
  <c r="C37" i="7"/>
  <c r="B37" i="7"/>
  <c r="Y36" i="7"/>
  <c r="Q36" i="7"/>
  <c r="M36" i="7"/>
  <c r="P36" i="7" s="1"/>
  <c r="I36" i="7"/>
  <c r="J36" i="7" s="1"/>
  <c r="E36" i="7"/>
  <c r="D36" i="7"/>
  <c r="C36" i="7"/>
  <c r="B36" i="7"/>
  <c r="Y35" i="7"/>
  <c r="M35" i="7"/>
  <c r="P35" i="7" s="1"/>
  <c r="I35" i="7"/>
  <c r="E35" i="7"/>
  <c r="D35" i="7"/>
  <c r="C35" i="7"/>
  <c r="B35" i="7"/>
  <c r="M34" i="7"/>
  <c r="P34" i="7" s="1"/>
  <c r="I34" i="7"/>
  <c r="J34" i="7" s="1"/>
  <c r="E34" i="7"/>
  <c r="D34" i="7"/>
  <c r="C34" i="7"/>
  <c r="Y34" i="7" s="1"/>
  <c r="B34" i="7"/>
  <c r="M33" i="7"/>
  <c r="P33" i="7" s="1"/>
  <c r="I33" i="7"/>
  <c r="E33" i="7"/>
  <c r="D33" i="7"/>
  <c r="C33" i="7"/>
  <c r="Y33" i="7" s="1"/>
  <c r="B33" i="7"/>
  <c r="M32" i="7"/>
  <c r="P32" i="7" s="1"/>
  <c r="I32" i="7"/>
  <c r="E32" i="7"/>
  <c r="D32" i="7"/>
  <c r="C32" i="7"/>
  <c r="Y32" i="7" s="1"/>
  <c r="B32" i="7"/>
  <c r="M31" i="7"/>
  <c r="P31" i="7" s="1"/>
  <c r="I31" i="7"/>
  <c r="J31" i="7" s="1"/>
  <c r="E31" i="7"/>
  <c r="D31" i="7"/>
  <c r="C31" i="7"/>
  <c r="Y31" i="7" s="1"/>
  <c r="B31" i="7"/>
  <c r="Y30" i="7"/>
  <c r="M30" i="7"/>
  <c r="P30" i="7" s="1"/>
  <c r="I30" i="7"/>
  <c r="J30" i="7" s="1"/>
  <c r="K28" i="3" s="1"/>
  <c r="E30" i="7"/>
  <c r="D30" i="7"/>
  <c r="C30" i="7"/>
  <c r="B30" i="7"/>
  <c r="Y29" i="7"/>
  <c r="M29" i="7"/>
  <c r="P29" i="7" s="1"/>
  <c r="I29" i="7"/>
  <c r="E29" i="7"/>
  <c r="D29" i="7"/>
  <c r="C29" i="7"/>
  <c r="B29" i="7"/>
  <c r="Y28" i="7"/>
  <c r="Q28" i="7"/>
  <c r="P28" i="7"/>
  <c r="M28" i="7"/>
  <c r="I28" i="7"/>
  <c r="J28" i="7" s="1"/>
  <c r="E28" i="7"/>
  <c r="D28" i="7"/>
  <c r="C28" i="7"/>
  <c r="B28" i="7"/>
  <c r="Q27" i="7"/>
  <c r="M27" i="7"/>
  <c r="P27" i="7" s="1"/>
  <c r="I27" i="7"/>
  <c r="E27" i="7"/>
  <c r="D27" i="7"/>
  <c r="C27" i="7"/>
  <c r="Y27" i="7" s="1"/>
  <c r="B27" i="7"/>
  <c r="Y26" i="7"/>
  <c r="M26" i="7"/>
  <c r="P26" i="7" s="1"/>
  <c r="I26" i="7"/>
  <c r="J26" i="7" s="1"/>
  <c r="E26" i="7"/>
  <c r="D26" i="7"/>
  <c r="C26" i="7"/>
  <c r="B26" i="7"/>
  <c r="M25" i="7"/>
  <c r="P25" i="7" s="1"/>
  <c r="I25" i="7"/>
  <c r="E25" i="7"/>
  <c r="D25" i="7"/>
  <c r="C25" i="7"/>
  <c r="Y25" i="7" s="1"/>
  <c r="B25" i="7"/>
  <c r="M24" i="7"/>
  <c r="P24" i="7" s="1"/>
  <c r="I24" i="7"/>
  <c r="E24" i="7"/>
  <c r="D24" i="7"/>
  <c r="C24" i="7"/>
  <c r="Y24" i="7" s="1"/>
  <c r="B24" i="7"/>
  <c r="M23" i="7"/>
  <c r="P23" i="7" s="1"/>
  <c r="I23" i="7"/>
  <c r="J23" i="7" s="1"/>
  <c r="E23" i="7"/>
  <c r="D23" i="7"/>
  <c r="C23" i="7"/>
  <c r="Y23" i="7" s="1"/>
  <c r="B23" i="7"/>
  <c r="M22" i="7"/>
  <c r="P22" i="7" s="1"/>
  <c r="I22" i="7"/>
  <c r="E22" i="7"/>
  <c r="D22" i="7"/>
  <c r="C22" i="7"/>
  <c r="Y22" i="7" s="1"/>
  <c r="B22" i="7"/>
  <c r="M21" i="7"/>
  <c r="P21" i="7" s="1"/>
  <c r="I21" i="7"/>
  <c r="E21" i="7"/>
  <c r="D21" i="7"/>
  <c r="C21" i="7"/>
  <c r="Y21" i="7" s="1"/>
  <c r="B21" i="7"/>
  <c r="M20" i="7"/>
  <c r="P20" i="7" s="1"/>
  <c r="I20" i="7"/>
  <c r="J20" i="7" s="1"/>
  <c r="E20" i="7"/>
  <c r="D20" i="7"/>
  <c r="C20" i="7"/>
  <c r="Y20" i="7" s="1"/>
  <c r="B20" i="7"/>
  <c r="M19" i="7"/>
  <c r="Q19" i="7" s="1"/>
  <c r="I19" i="7"/>
  <c r="J19" i="7" s="1"/>
  <c r="E19" i="7"/>
  <c r="D19" i="7"/>
  <c r="C19" i="7"/>
  <c r="Y19" i="7" s="1"/>
  <c r="B19" i="7"/>
  <c r="M18" i="7"/>
  <c r="P18" i="7" s="1"/>
  <c r="I18" i="7"/>
  <c r="E18" i="7"/>
  <c r="D18" i="7"/>
  <c r="C18" i="7"/>
  <c r="Y18" i="7" s="1"/>
  <c r="B18" i="7"/>
  <c r="M17" i="7"/>
  <c r="P17" i="7" s="1"/>
  <c r="I17" i="7"/>
  <c r="E17" i="7"/>
  <c r="D17" i="7"/>
  <c r="C17" i="7"/>
  <c r="Y17" i="7" s="1"/>
  <c r="B17" i="7"/>
  <c r="M16" i="7"/>
  <c r="P16" i="7" s="1"/>
  <c r="I16" i="7"/>
  <c r="E16" i="7"/>
  <c r="D16" i="7"/>
  <c r="C16" i="7"/>
  <c r="Y16" i="7" s="1"/>
  <c r="B16" i="7"/>
  <c r="M15" i="7"/>
  <c r="P15" i="7" s="1"/>
  <c r="I15" i="7"/>
  <c r="J15" i="7" s="1"/>
  <c r="E15" i="7"/>
  <c r="D15" i="7"/>
  <c r="C15" i="7"/>
  <c r="Y15" i="7" s="1"/>
  <c r="B15" i="7"/>
  <c r="Y14" i="7"/>
  <c r="M14" i="7"/>
  <c r="P14" i="7" s="1"/>
  <c r="I14" i="7"/>
  <c r="E14" i="7"/>
  <c r="D14" i="7"/>
  <c r="C14" i="7"/>
  <c r="B14" i="7"/>
  <c r="Y13" i="7"/>
  <c r="M13" i="7"/>
  <c r="P13" i="7" s="1"/>
  <c r="I13" i="7"/>
  <c r="E13" i="7"/>
  <c r="D13" i="7"/>
  <c r="C13" i="7"/>
  <c r="B13" i="7"/>
  <c r="Y12" i="7"/>
  <c r="M12" i="7"/>
  <c r="P12" i="7" s="1"/>
  <c r="I12" i="7"/>
  <c r="J12" i="7" s="1"/>
  <c r="E12" i="7"/>
  <c r="D12" i="7"/>
  <c r="C12" i="7"/>
  <c r="B12" i="7"/>
  <c r="M11" i="7"/>
  <c r="P11" i="7" s="1"/>
  <c r="I11" i="7"/>
  <c r="J11" i="7" s="1"/>
  <c r="K9" i="3" s="1"/>
  <c r="E11" i="7"/>
  <c r="D11" i="7"/>
  <c r="C11" i="7"/>
  <c r="Y11" i="7" s="1"/>
  <c r="B11" i="7"/>
  <c r="Z9" i="7"/>
  <c r="Y9" i="7"/>
  <c r="X9" i="7"/>
  <c r="C8" i="7"/>
  <c r="P7" i="7"/>
  <c r="M7" i="7"/>
  <c r="C7" i="7"/>
  <c r="E6" i="7"/>
  <c r="F11" i="2" s="1"/>
  <c r="D6" i="7"/>
  <c r="F4" i="7" s="1"/>
  <c r="C6" i="7"/>
  <c r="C5" i="7"/>
  <c r="I4" i="7"/>
  <c r="C4" i="7"/>
  <c r="C3" i="7"/>
  <c r="A1" i="7"/>
  <c r="Y110" i="1"/>
  <c r="U110" i="1"/>
  <c r="Q110" i="1"/>
  <c r="P110" i="1"/>
  <c r="M110" i="1"/>
  <c r="J110" i="1"/>
  <c r="I110" i="1"/>
  <c r="Y109" i="1"/>
  <c r="U109" i="1"/>
  <c r="Q109" i="1"/>
  <c r="P109" i="1"/>
  <c r="M109" i="1"/>
  <c r="J109" i="1"/>
  <c r="I109" i="1"/>
  <c r="A109" i="1"/>
  <c r="Y108" i="1"/>
  <c r="U108" i="1"/>
  <c r="Q108" i="1"/>
  <c r="P108" i="1"/>
  <c r="M108" i="1"/>
  <c r="J108" i="1"/>
  <c r="I108" i="1"/>
  <c r="A108" i="1"/>
  <c r="Y107" i="1"/>
  <c r="U107" i="1"/>
  <c r="Q107" i="1"/>
  <c r="P107" i="1"/>
  <c r="M107" i="1"/>
  <c r="J107" i="1"/>
  <c r="I107" i="1"/>
  <c r="A107" i="1"/>
  <c r="Y106" i="1"/>
  <c r="U106" i="1"/>
  <c r="Q106" i="1"/>
  <c r="P106" i="1"/>
  <c r="M106" i="1"/>
  <c r="J106" i="1"/>
  <c r="I106" i="1"/>
  <c r="A106" i="1"/>
  <c r="Y105" i="1"/>
  <c r="U105" i="1"/>
  <c r="Q105" i="1"/>
  <c r="P105" i="1"/>
  <c r="M105" i="1"/>
  <c r="J105" i="1"/>
  <c r="I105" i="1"/>
  <c r="A105" i="1"/>
  <c r="Y104" i="1"/>
  <c r="U104" i="1"/>
  <c r="Q104" i="1"/>
  <c r="P104" i="1"/>
  <c r="M104" i="1"/>
  <c r="J104" i="1"/>
  <c r="I104" i="1"/>
  <c r="A104" i="1"/>
  <c r="Y103" i="1"/>
  <c r="U103" i="1"/>
  <c r="Q103" i="1"/>
  <c r="P103" i="1"/>
  <c r="M103" i="1"/>
  <c r="J103" i="1"/>
  <c r="I103" i="1"/>
  <c r="A103" i="1"/>
  <c r="Y102" i="1"/>
  <c r="U102" i="1"/>
  <c r="Q102" i="1"/>
  <c r="P102" i="1"/>
  <c r="M102" i="1"/>
  <c r="J102" i="1"/>
  <c r="I102" i="1"/>
  <c r="A102" i="1"/>
  <c r="Y101" i="1"/>
  <c r="U101" i="1"/>
  <c r="Q101" i="1"/>
  <c r="P101" i="1"/>
  <c r="M101" i="1"/>
  <c r="J101" i="1"/>
  <c r="I101" i="1"/>
  <c r="A101" i="1"/>
  <c r="Y100" i="1"/>
  <c r="U100" i="1"/>
  <c r="Q100" i="1"/>
  <c r="P100" i="1"/>
  <c r="M100" i="1"/>
  <c r="J100" i="1"/>
  <c r="I100" i="1"/>
  <c r="A100" i="1"/>
  <c r="Y99" i="1"/>
  <c r="U99" i="1"/>
  <c r="Q99" i="1"/>
  <c r="P99" i="1"/>
  <c r="M99" i="1"/>
  <c r="J99" i="1"/>
  <c r="I99" i="1"/>
  <c r="A99" i="1"/>
  <c r="Y98" i="1"/>
  <c r="U98" i="1"/>
  <c r="Q98" i="1"/>
  <c r="P98" i="1"/>
  <c r="M98" i="1"/>
  <c r="J98" i="1"/>
  <c r="I98" i="1"/>
  <c r="A98" i="1"/>
  <c r="Y97" i="1"/>
  <c r="U97" i="1"/>
  <c r="Q97" i="1"/>
  <c r="P97" i="1"/>
  <c r="M97" i="1"/>
  <c r="J97" i="1"/>
  <c r="I97" i="1"/>
  <c r="A97" i="1"/>
  <c r="Y96" i="1"/>
  <c r="U96" i="1"/>
  <c r="Q96" i="1"/>
  <c r="P96" i="1"/>
  <c r="M96" i="1"/>
  <c r="J96" i="1"/>
  <c r="I96" i="1"/>
  <c r="A96" i="1"/>
  <c r="Y95" i="1"/>
  <c r="U95" i="1"/>
  <c r="Q95" i="1"/>
  <c r="P95" i="1"/>
  <c r="M95" i="1"/>
  <c r="J95" i="1"/>
  <c r="I95" i="1"/>
  <c r="A95" i="1"/>
  <c r="Y94" i="1"/>
  <c r="U94" i="1"/>
  <c r="Q94" i="1"/>
  <c r="P94" i="1"/>
  <c r="M94" i="1"/>
  <c r="J94" i="1"/>
  <c r="I94" i="1"/>
  <c r="A94" i="1"/>
  <c r="Y93" i="1"/>
  <c r="U93" i="1"/>
  <c r="Q93" i="1"/>
  <c r="P93" i="1"/>
  <c r="M93" i="1"/>
  <c r="J93" i="1"/>
  <c r="I93" i="1"/>
  <c r="A93" i="1"/>
  <c r="Y92" i="1"/>
  <c r="U92" i="1"/>
  <c r="Q92" i="1"/>
  <c r="P92" i="1"/>
  <c r="M92" i="1"/>
  <c r="J92" i="1"/>
  <c r="I92" i="1"/>
  <c r="A92" i="1"/>
  <c r="Y91" i="1"/>
  <c r="U91" i="1"/>
  <c r="Q91" i="1"/>
  <c r="P91" i="1"/>
  <c r="M91" i="1"/>
  <c r="J91" i="1"/>
  <c r="I91" i="1"/>
  <c r="A91" i="1"/>
  <c r="Y90" i="1"/>
  <c r="U90" i="1"/>
  <c r="Q90" i="1"/>
  <c r="P90" i="1"/>
  <c r="M90" i="1"/>
  <c r="J90" i="1"/>
  <c r="I90" i="1"/>
  <c r="A90" i="1"/>
  <c r="Y89" i="1"/>
  <c r="U89" i="1"/>
  <c r="Q89" i="1"/>
  <c r="P89" i="1"/>
  <c r="M89" i="1"/>
  <c r="J89" i="1"/>
  <c r="I89" i="1"/>
  <c r="A89" i="1"/>
  <c r="Y88" i="1"/>
  <c r="U88" i="1"/>
  <c r="Q88" i="1"/>
  <c r="P88" i="1"/>
  <c r="M88" i="1"/>
  <c r="J88" i="1"/>
  <c r="I88" i="1"/>
  <c r="A88" i="1"/>
  <c r="Y87" i="1"/>
  <c r="U87" i="1"/>
  <c r="Q87" i="1"/>
  <c r="P87" i="1"/>
  <c r="M87" i="1"/>
  <c r="J87" i="1"/>
  <c r="I87" i="1"/>
  <c r="A87" i="1"/>
  <c r="Y86" i="1"/>
  <c r="U86" i="1"/>
  <c r="Q86" i="1"/>
  <c r="P86" i="1"/>
  <c r="M86" i="1"/>
  <c r="J86" i="1"/>
  <c r="I86" i="1"/>
  <c r="A86" i="1"/>
  <c r="Y85" i="1"/>
  <c r="U85" i="1"/>
  <c r="Q85" i="1"/>
  <c r="P85" i="1"/>
  <c r="M85" i="1"/>
  <c r="J85" i="1"/>
  <c r="I85" i="1"/>
  <c r="A85" i="1"/>
  <c r="Y84" i="1"/>
  <c r="U84" i="1"/>
  <c r="Q84" i="1"/>
  <c r="P84" i="1"/>
  <c r="M84" i="1"/>
  <c r="J84" i="1"/>
  <c r="I84" i="1"/>
  <c r="A84" i="1"/>
  <c r="Y83" i="1"/>
  <c r="U83" i="1"/>
  <c r="Q83" i="1"/>
  <c r="P83" i="1"/>
  <c r="M83" i="1"/>
  <c r="J83" i="1"/>
  <c r="I83" i="1"/>
  <c r="A83" i="1"/>
  <c r="Y82" i="1"/>
  <c r="U82" i="1"/>
  <c r="Q82" i="1"/>
  <c r="P82" i="1"/>
  <c r="M82" i="1"/>
  <c r="J82" i="1"/>
  <c r="I82" i="1"/>
  <c r="A82" i="1"/>
  <c r="Y81" i="1"/>
  <c r="U81" i="1"/>
  <c r="Q81" i="1"/>
  <c r="P81" i="1"/>
  <c r="M81" i="1"/>
  <c r="J81" i="1"/>
  <c r="I81" i="1"/>
  <c r="A81" i="1"/>
  <c r="Y80" i="1"/>
  <c r="U80" i="1"/>
  <c r="Q80" i="1"/>
  <c r="P80" i="1"/>
  <c r="M80" i="1"/>
  <c r="J80" i="1"/>
  <c r="I80" i="1"/>
  <c r="A80" i="1"/>
  <c r="Y79" i="1"/>
  <c r="U79" i="1"/>
  <c r="Q79" i="1"/>
  <c r="P79" i="1"/>
  <c r="M79" i="1"/>
  <c r="J79" i="1"/>
  <c r="I79" i="1"/>
  <c r="A79" i="1"/>
  <c r="Y78" i="1"/>
  <c r="U78" i="1"/>
  <c r="Q78" i="1"/>
  <c r="P78" i="1"/>
  <c r="M78" i="1"/>
  <c r="J78" i="1"/>
  <c r="I78" i="1"/>
  <c r="A78" i="1"/>
  <c r="Y77" i="1"/>
  <c r="U77" i="1"/>
  <c r="Q77" i="1"/>
  <c r="P77" i="1"/>
  <c r="M77" i="1"/>
  <c r="J77" i="1"/>
  <c r="I77" i="1"/>
  <c r="A77" i="1"/>
  <c r="Y76" i="1"/>
  <c r="U76" i="1"/>
  <c r="Q76" i="1"/>
  <c r="P76" i="1"/>
  <c r="M76" i="1"/>
  <c r="J76" i="1"/>
  <c r="I76" i="1"/>
  <c r="A76" i="1"/>
  <c r="Y75" i="1"/>
  <c r="U75" i="1"/>
  <c r="Q75" i="1"/>
  <c r="P75" i="1"/>
  <c r="M75" i="1"/>
  <c r="J75" i="1"/>
  <c r="I75" i="1"/>
  <c r="A75" i="1"/>
  <c r="Y74" i="1"/>
  <c r="U74" i="1"/>
  <c r="Q74" i="1"/>
  <c r="P74" i="1"/>
  <c r="M74" i="1"/>
  <c r="J74" i="1"/>
  <c r="I74" i="1"/>
  <c r="A74" i="1"/>
  <c r="Y73" i="1"/>
  <c r="U73" i="1"/>
  <c r="Q73" i="1"/>
  <c r="P73" i="1"/>
  <c r="M73" i="1"/>
  <c r="J73" i="1"/>
  <c r="I73" i="1"/>
  <c r="A73" i="1"/>
  <c r="Y72" i="1"/>
  <c r="U72" i="1"/>
  <c r="Q72" i="1"/>
  <c r="P72" i="1"/>
  <c r="M72" i="1"/>
  <c r="J72" i="1"/>
  <c r="I72" i="1"/>
  <c r="A72" i="1"/>
  <c r="Y71" i="1"/>
  <c r="U71" i="1"/>
  <c r="Q71" i="1"/>
  <c r="P71" i="1"/>
  <c r="M71" i="1"/>
  <c r="J71" i="1"/>
  <c r="I71" i="1"/>
  <c r="A71" i="1"/>
  <c r="Y70" i="1"/>
  <c r="U70" i="1"/>
  <c r="Q70" i="1"/>
  <c r="P70" i="1"/>
  <c r="M70" i="1"/>
  <c r="J70" i="1"/>
  <c r="I70" i="1"/>
  <c r="A70" i="1"/>
  <c r="Y69" i="1"/>
  <c r="U69" i="1"/>
  <c r="Q69" i="1"/>
  <c r="P69" i="1"/>
  <c r="M69" i="1"/>
  <c r="J69" i="1"/>
  <c r="I69" i="1"/>
  <c r="Y68" i="1"/>
  <c r="U68" i="1"/>
  <c r="Q68" i="1"/>
  <c r="P68" i="1"/>
  <c r="M68" i="1"/>
  <c r="J68" i="1"/>
  <c r="I68" i="1"/>
  <c r="Y67" i="1"/>
  <c r="U67" i="1"/>
  <c r="Q67" i="1"/>
  <c r="P67" i="1"/>
  <c r="M67" i="1"/>
  <c r="J67" i="1"/>
  <c r="I67" i="1"/>
  <c r="Y66" i="1"/>
  <c r="U66" i="1"/>
  <c r="Q66" i="1"/>
  <c r="P66" i="1"/>
  <c r="M66" i="1"/>
  <c r="J66" i="1"/>
  <c r="I66" i="1"/>
  <c r="Y65" i="1"/>
  <c r="U65" i="1"/>
  <c r="Q65" i="1"/>
  <c r="P65" i="1"/>
  <c r="M65" i="1"/>
  <c r="J65" i="1"/>
  <c r="I65" i="1"/>
  <c r="Y64" i="1"/>
  <c r="U64" i="1"/>
  <c r="Q64" i="1"/>
  <c r="P64" i="1"/>
  <c r="M64" i="1"/>
  <c r="J64" i="1"/>
  <c r="I64" i="1"/>
  <c r="Y63" i="1"/>
  <c r="U63" i="1"/>
  <c r="Q63" i="1"/>
  <c r="P63" i="1"/>
  <c r="M63" i="1"/>
  <c r="J63" i="1"/>
  <c r="I63" i="1"/>
  <c r="Y62" i="1"/>
  <c r="U62" i="1"/>
  <c r="Q62" i="1"/>
  <c r="P62" i="1"/>
  <c r="M62" i="1"/>
  <c r="J62" i="1"/>
  <c r="I62" i="1"/>
  <c r="Y61" i="1"/>
  <c r="U61" i="1"/>
  <c r="Q61" i="1"/>
  <c r="P61" i="1"/>
  <c r="M61" i="1"/>
  <c r="J61" i="1"/>
  <c r="I61" i="1"/>
  <c r="Y60" i="1"/>
  <c r="U60" i="1"/>
  <c r="Q60" i="1"/>
  <c r="P60" i="1"/>
  <c r="M60" i="1"/>
  <c r="J60" i="1"/>
  <c r="I60" i="1"/>
  <c r="Y59" i="1"/>
  <c r="U59" i="1"/>
  <c r="Q59" i="1"/>
  <c r="P59" i="1"/>
  <c r="M59" i="1"/>
  <c r="J59" i="1"/>
  <c r="I59" i="1"/>
  <c r="Y58" i="1"/>
  <c r="U58" i="1"/>
  <c r="Q58" i="1"/>
  <c r="P58" i="1"/>
  <c r="M58" i="1"/>
  <c r="J58" i="1"/>
  <c r="I58" i="1"/>
  <c r="Y57" i="1"/>
  <c r="U57" i="1"/>
  <c r="Q57" i="1"/>
  <c r="P57" i="1"/>
  <c r="M57" i="1"/>
  <c r="J57" i="1"/>
  <c r="I57" i="1"/>
  <c r="Y56" i="1"/>
  <c r="U56" i="1"/>
  <c r="Q56" i="1"/>
  <c r="P56" i="1"/>
  <c r="M56" i="1"/>
  <c r="J56" i="1"/>
  <c r="I56" i="1"/>
  <c r="Y55" i="1"/>
  <c r="U55" i="1"/>
  <c r="Q55" i="1"/>
  <c r="P55" i="1"/>
  <c r="M55" i="1"/>
  <c r="J55" i="1"/>
  <c r="I55" i="1"/>
  <c r="Y54" i="1"/>
  <c r="U54" i="1"/>
  <c r="Q54" i="1"/>
  <c r="P54" i="1"/>
  <c r="M54" i="1"/>
  <c r="J54" i="1"/>
  <c r="I54" i="1"/>
  <c r="Y53" i="1"/>
  <c r="U53" i="1"/>
  <c r="Q53" i="1"/>
  <c r="P53" i="1"/>
  <c r="M53" i="1"/>
  <c r="J53" i="1"/>
  <c r="I53" i="1"/>
  <c r="Y52" i="1"/>
  <c r="U52" i="1"/>
  <c r="Q52" i="1"/>
  <c r="P52" i="1"/>
  <c r="M52" i="1"/>
  <c r="J52" i="1"/>
  <c r="I52" i="1"/>
  <c r="Y51" i="1"/>
  <c r="U51" i="1"/>
  <c r="Q51" i="1"/>
  <c r="P51" i="1"/>
  <c r="M51" i="1"/>
  <c r="J51" i="1"/>
  <c r="I51" i="1"/>
  <c r="Y50" i="1"/>
  <c r="U50" i="1"/>
  <c r="Q50" i="1"/>
  <c r="P50" i="1"/>
  <c r="M50" i="1"/>
  <c r="J50" i="1"/>
  <c r="I50" i="1"/>
  <c r="Y49" i="1"/>
  <c r="U49" i="1"/>
  <c r="Q49" i="1"/>
  <c r="P49" i="1"/>
  <c r="M49" i="1"/>
  <c r="J49" i="1"/>
  <c r="I49" i="1"/>
  <c r="Y48" i="1"/>
  <c r="U48" i="1"/>
  <c r="Q48" i="1"/>
  <c r="P48" i="1"/>
  <c r="M48" i="1"/>
  <c r="J48" i="1"/>
  <c r="I48" i="1"/>
  <c r="Y47" i="1"/>
  <c r="U47" i="1"/>
  <c r="Q47" i="1"/>
  <c r="P47" i="1"/>
  <c r="M47" i="1"/>
  <c r="J47" i="1"/>
  <c r="I47" i="1"/>
  <c r="Y46" i="1"/>
  <c r="U46" i="1"/>
  <c r="Q46" i="1"/>
  <c r="P46" i="1"/>
  <c r="M46" i="1"/>
  <c r="J46" i="1"/>
  <c r="I46" i="1"/>
  <c r="Y45" i="1"/>
  <c r="U45" i="1"/>
  <c r="Q45" i="1"/>
  <c r="P45" i="1"/>
  <c r="M45" i="1"/>
  <c r="J45" i="1"/>
  <c r="I45" i="1"/>
  <c r="Y44" i="1"/>
  <c r="U44" i="1"/>
  <c r="Q44" i="1"/>
  <c r="P44" i="1"/>
  <c r="M44" i="1"/>
  <c r="J44" i="1"/>
  <c r="I44" i="1"/>
  <c r="Y43" i="1"/>
  <c r="U43" i="1"/>
  <c r="Q43" i="1"/>
  <c r="P43" i="1"/>
  <c r="M43" i="1"/>
  <c r="J43" i="1"/>
  <c r="I43" i="1"/>
  <c r="Y42" i="1"/>
  <c r="U42" i="1"/>
  <c r="Q42" i="1"/>
  <c r="P42" i="1"/>
  <c r="M42" i="1"/>
  <c r="J42" i="1"/>
  <c r="I42" i="1"/>
  <c r="Y41" i="1"/>
  <c r="U41" i="1"/>
  <c r="Q41" i="1"/>
  <c r="P41" i="1"/>
  <c r="M41" i="1"/>
  <c r="J41" i="1"/>
  <c r="I41" i="1"/>
  <c r="Y40" i="1"/>
  <c r="U40" i="1"/>
  <c r="Q40" i="1"/>
  <c r="P40" i="1"/>
  <c r="M40" i="1"/>
  <c r="J40" i="1"/>
  <c r="I40" i="1"/>
  <c r="Y39" i="1"/>
  <c r="U39" i="1"/>
  <c r="Q39" i="1"/>
  <c r="P39" i="1"/>
  <c r="M39" i="1"/>
  <c r="J39" i="1"/>
  <c r="I39" i="1"/>
  <c r="Y38" i="1"/>
  <c r="U38" i="1"/>
  <c r="Q38" i="1"/>
  <c r="P38" i="1"/>
  <c r="M38" i="1"/>
  <c r="J38" i="1"/>
  <c r="I38" i="1"/>
  <c r="Y37" i="1"/>
  <c r="U37" i="1"/>
  <c r="Q37" i="1"/>
  <c r="P37" i="1"/>
  <c r="M37" i="1"/>
  <c r="J37" i="1"/>
  <c r="I37" i="1"/>
  <c r="Y36" i="1"/>
  <c r="Q36" i="1"/>
  <c r="M36" i="1"/>
  <c r="P36" i="1" s="1"/>
  <c r="J36" i="1"/>
  <c r="U36" i="1" s="1"/>
  <c r="J34" i="3" s="1"/>
  <c r="I36" i="1"/>
  <c r="Y35" i="1"/>
  <c r="M35" i="1"/>
  <c r="P35" i="1" s="1"/>
  <c r="I35" i="1"/>
  <c r="J35" i="1" s="1"/>
  <c r="Y34" i="1"/>
  <c r="M34" i="1"/>
  <c r="P34" i="1" s="1"/>
  <c r="I34" i="1"/>
  <c r="J34" i="1" s="1"/>
  <c r="Y33" i="1"/>
  <c r="M33" i="1"/>
  <c r="P33" i="1" s="1"/>
  <c r="I33" i="1"/>
  <c r="Y32" i="1"/>
  <c r="M32" i="1"/>
  <c r="P32" i="1" s="1"/>
  <c r="I32" i="1"/>
  <c r="F30" i="3" s="1"/>
  <c r="Y31" i="1"/>
  <c r="M31" i="1"/>
  <c r="P31" i="1" s="1"/>
  <c r="I31" i="1"/>
  <c r="F29" i="3" s="1"/>
  <c r="Y30" i="1"/>
  <c r="M30" i="1"/>
  <c r="P30" i="1" s="1"/>
  <c r="I30" i="1"/>
  <c r="F28" i="3" s="1"/>
  <c r="Y29" i="1"/>
  <c r="M29" i="1"/>
  <c r="P29" i="1" s="1"/>
  <c r="I29" i="1"/>
  <c r="J29" i="1" s="1"/>
  <c r="Y28" i="1"/>
  <c r="M28" i="1"/>
  <c r="P28" i="1" s="1"/>
  <c r="I28" i="1"/>
  <c r="F26" i="3" s="1"/>
  <c r="Y27" i="1"/>
  <c r="M27" i="1"/>
  <c r="P27" i="1" s="1"/>
  <c r="I27" i="1"/>
  <c r="J27" i="1" s="1"/>
  <c r="Y26" i="1"/>
  <c r="M26" i="1"/>
  <c r="P26" i="1" s="1"/>
  <c r="I26" i="1"/>
  <c r="F24" i="3" s="1"/>
  <c r="Y25" i="1"/>
  <c r="Q25" i="1"/>
  <c r="M25" i="1"/>
  <c r="P25" i="1" s="1"/>
  <c r="I25" i="1"/>
  <c r="Y24" i="1"/>
  <c r="M24" i="1"/>
  <c r="P24" i="1" s="1"/>
  <c r="I24" i="1"/>
  <c r="F22" i="3" s="1"/>
  <c r="Y23" i="1"/>
  <c r="M23" i="1"/>
  <c r="P23" i="1" s="1"/>
  <c r="I23" i="1"/>
  <c r="Y22" i="1"/>
  <c r="M22" i="1"/>
  <c r="P22" i="1" s="1"/>
  <c r="I22" i="1"/>
  <c r="Y21" i="1"/>
  <c r="M21" i="1"/>
  <c r="P21" i="1" s="1"/>
  <c r="I21" i="1"/>
  <c r="Y20" i="1"/>
  <c r="M20" i="1"/>
  <c r="P20" i="1" s="1"/>
  <c r="I20" i="1"/>
  <c r="J20" i="1" s="1"/>
  <c r="Y19" i="1"/>
  <c r="M19" i="1"/>
  <c r="P19" i="1" s="1"/>
  <c r="I19" i="1"/>
  <c r="J19" i="1" s="1"/>
  <c r="Y18" i="1"/>
  <c r="M18" i="1"/>
  <c r="P18" i="1" s="1"/>
  <c r="I18" i="1"/>
  <c r="J18" i="1" s="1"/>
  <c r="Y17" i="1"/>
  <c r="M17" i="1"/>
  <c r="P17" i="1" s="1"/>
  <c r="I17" i="1"/>
  <c r="Y16" i="1"/>
  <c r="M16" i="1"/>
  <c r="P16" i="1" s="1"/>
  <c r="I16" i="1"/>
  <c r="J16" i="1" s="1"/>
  <c r="Y15" i="1"/>
  <c r="M15" i="1"/>
  <c r="P15" i="1" s="1"/>
  <c r="I15" i="1"/>
  <c r="F13" i="3" s="1"/>
  <c r="Y14" i="1"/>
  <c r="M14" i="1"/>
  <c r="P14" i="1" s="1"/>
  <c r="I14" i="1"/>
  <c r="F12" i="3" s="1"/>
  <c r="Y13" i="1"/>
  <c r="M13" i="1"/>
  <c r="P13" i="1" s="1"/>
  <c r="I13" i="1"/>
  <c r="J13" i="1" s="1"/>
  <c r="Y12" i="1"/>
  <c r="M12" i="1"/>
  <c r="P12" i="1" s="1"/>
  <c r="I12" i="1"/>
  <c r="J12" i="1" s="1"/>
  <c r="Y11" i="1"/>
  <c r="M11" i="1"/>
  <c r="P11" i="1" s="1"/>
  <c r="I11" i="1"/>
  <c r="J11" i="1" s="1"/>
  <c r="Z9" i="1"/>
  <c r="Y9" i="1"/>
  <c r="X9" i="1"/>
  <c r="P7" i="1"/>
  <c r="M7" i="1"/>
  <c r="I4" i="1"/>
  <c r="F4" i="1"/>
  <c r="Q20" i="7" l="1"/>
  <c r="Q20" i="1"/>
  <c r="U20" i="1" s="1"/>
  <c r="J18" i="3" s="1"/>
  <c r="Q18" i="1"/>
  <c r="Q18" i="7"/>
  <c r="L13" i="3"/>
  <c r="F21" i="3"/>
  <c r="I21" i="3" s="1"/>
  <c r="F20" i="3"/>
  <c r="I20" i="3" s="1"/>
  <c r="L19" i="3"/>
  <c r="F19" i="3"/>
  <c r="I19" i="3" s="1"/>
  <c r="Q25" i="7"/>
  <c r="Q24" i="1"/>
  <c r="L21" i="3"/>
  <c r="Q22" i="7"/>
  <c r="Q21" i="7"/>
  <c r="L17" i="3"/>
  <c r="G11" i="2"/>
  <c r="C23" i="2" s="1"/>
  <c r="G10" i="2"/>
  <c r="L16" i="3"/>
  <c r="L11" i="3"/>
  <c r="C20" i="2"/>
  <c r="F10" i="2"/>
  <c r="F14" i="2" s="1"/>
  <c r="C19" i="2"/>
  <c r="E34" i="3"/>
  <c r="L15" i="3"/>
  <c r="L31" i="3"/>
  <c r="F15" i="3"/>
  <c r="I15" i="3" s="1"/>
  <c r="I13" i="3"/>
  <c r="L12" i="3"/>
  <c r="L25" i="3"/>
  <c r="F23" i="3"/>
  <c r="I23" i="3" s="1"/>
  <c r="L23" i="3"/>
  <c r="L27" i="3"/>
  <c r="F31" i="3"/>
  <c r="L20" i="3"/>
  <c r="L33" i="3"/>
  <c r="G13" i="2"/>
  <c r="C21" i="2" s="1"/>
  <c r="Q30" i="1"/>
  <c r="I30" i="3"/>
  <c r="Q32" i="1"/>
  <c r="I29" i="3"/>
  <c r="I31" i="3"/>
  <c r="Q31" i="1"/>
  <c r="I26" i="3"/>
  <c r="Q13" i="1"/>
  <c r="U13" i="1" s="1"/>
  <c r="J11" i="3" s="1"/>
  <c r="Q30" i="7"/>
  <c r="Q35" i="1"/>
  <c r="U35" i="1" s="1"/>
  <c r="J33" i="3" s="1"/>
  <c r="Q34" i="1"/>
  <c r="U34" i="1" s="1"/>
  <c r="J32" i="3" s="1"/>
  <c r="Q33" i="1"/>
  <c r="I28" i="3"/>
  <c r="Q28" i="1"/>
  <c r="Q27" i="1"/>
  <c r="U27" i="1" s="1"/>
  <c r="J25" i="3" s="1"/>
  <c r="I22" i="3"/>
  <c r="Q22" i="1"/>
  <c r="I24" i="3"/>
  <c r="Q26" i="1"/>
  <c r="J26" i="1"/>
  <c r="Q26" i="7"/>
  <c r="U26" i="7" s="1"/>
  <c r="P24" i="3" s="1"/>
  <c r="Q21" i="1"/>
  <c r="Q19" i="1"/>
  <c r="U19" i="1" s="1"/>
  <c r="J17" i="3" s="1"/>
  <c r="Q17" i="1"/>
  <c r="Q16" i="1"/>
  <c r="Q29" i="1"/>
  <c r="Q29" i="7"/>
  <c r="Q12" i="1"/>
  <c r="U12" i="1" s="1"/>
  <c r="J10" i="3" s="1"/>
  <c r="Q12" i="7"/>
  <c r="U12" i="7" s="1"/>
  <c r="P10" i="3" s="1"/>
  <c r="Q15" i="1"/>
  <c r="I12" i="3"/>
  <c r="Q14" i="1"/>
  <c r="Q11" i="1"/>
  <c r="U11" i="1" s="1"/>
  <c r="J9" i="3" s="1"/>
  <c r="Q16" i="7"/>
  <c r="Q13" i="7"/>
  <c r="Q32" i="7"/>
  <c r="P19" i="7"/>
  <c r="U19" i="7"/>
  <c r="P17" i="3" s="1"/>
  <c r="Q35" i="7"/>
  <c r="Q34" i="7"/>
  <c r="U34" i="7"/>
  <c r="P32" i="3" s="1"/>
  <c r="Q33" i="7"/>
  <c r="Q31" i="7"/>
  <c r="U31" i="7" s="1"/>
  <c r="P29" i="3" s="1"/>
  <c r="Q24" i="7"/>
  <c r="Q17" i="7"/>
  <c r="Q15" i="7"/>
  <c r="U15" i="7" s="1"/>
  <c r="P13" i="3" s="1"/>
  <c r="Q14" i="7"/>
  <c r="Q11" i="7"/>
  <c r="U11" i="7" s="1"/>
  <c r="P9" i="3" s="1"/>
  <c r="Q23" i="7"/>
  <c r="U23" i="7"/>
  <c r="P21" i="3" s="1"/>
  <c r="Q23" i="1"/>
  <c r="K13" i="3"/>
  <c r="K29" i="3"/>
  <c r="O29" i="3" s="1"/>
  <c r="K24" i="3"/>
  <c r="O24" i="3" s="1"/>
  <c r="L32" i="3"/>
  <c r="K21" i="3"/>
  <c r="O21" i="3" s="1"/>
  <c r="L24" i="3"/>
  <c r="J21" i="7"/>
  <c r="K19" i="3" s="1"/>
  <c r="U30" i="7"/>
  <c r="P28" i="3" s="1"/>
  <c r="L9" i="3"/>
  <c r="L28" i="3"/>
  <c r="L18" i="3"/>
  <c r="J18" i="7"/>
  <c r="K16" i="3" s="1"/>
  <c r="L10" i="3"/>
  <c r="L29" i="3"/>
  <c r="N28" i="3"/>
  <c r="M28" i="3"/>
  <c r="O28" i="3"/>
  <c r="J13" i="7"/>
  <c r="K34" i="3"/>
  <c r="U36" i="7"/>
  <c r="P34" i="3" s="1"/>
  <c r="K26" i="3"/>
  <c r="U28" i="7"/>
  <c r="P26" i="3" s="1"/>
  <c r="L22" i="3"/>
  <c r="J24" i="7"/>
  <c r="J29" i="7"/>
  <c r="K32" i="3"/>
  <c r="O9" i="3"/>
  <c r="N9" i="3"/>
  <c r="L30" i="3"/>
  <c r="J32" i="7"/>
  <c r="K18" i="3"/>
  <c r="U20" i="7"/>
  <c r="P18" i="3" s="1"/>
  <c r="K10" i="3"/>
  <c r="J16" i="7"/>
  <c r="L14" i="3"/>
  <c r="K17" i="3"/>
  <c r="J27" i="7"/>
  <c r="J14" i="7"/>
  <c r="J22" i="7"/>
  <c r="J17" i="7"/>
  <c r="J25" i="7"/>
  <c r="J33" i="7"/>
  <c r="L26" i="3"/>
  <c r="J35" i="7"/>
  <c r="U18" i="1"/>
  <c r="J16" i="3" s="1"/>
  <c r="E16" i="3"/>
  <c r="H16" i="3" s="1"/>
  <c r="E32" i="3"/>
  <c r="H32" i="3" s="1"/>
  <c r="J22" i="1"/>
  <c r="U22" i="1" s="1"/>
  <c r="J20" i="3" s="1"/>
  <c r="J14" i="1"/>
  <c r="J17" i="1"/>
  <c r="E15" i="3" s="1"/>
  <c r="H15" i="3" s="1"/>
  <c r="J30" i="1"/>
  <c r="J33" i="1"/>
  <c r="F9" i="3"/>
  <c r="I9" i="3" s="1"/>
  <c r="F16" i="3"/>
  <c r="I16" i="3" s="1"/>
  <c r="F25" i="3"/>
  <c r="I25" i="3" s="1"/>
  <c r="F32" i="3"/>
  <c r="I32" i="3" s="1"/>
  <c r="J25" i="1"/>
  <c r="U25" i="1" s="1"/>
  <c r="J23" i="3" s="1"/>
  <c r="F17" i="3"/>
  <c r="I17" i="3" s="1"/>
  <c r="F33" i="3"/>
  <c r="I33" i="3" s="1"/>
  <c r="E10" i="3"/>
  <c r="E17" i="3"/>
  <c r="E33" i="3"/>
  <c r="E9" i="3"/>
  <c r="E18" i="3"/>
  <c r="E25" i="3"/>
  <c r="E11" i="3"/>
  <c r="U16" i="1"/>
  <c r="J14" i="3" s="1"/>
  <c r="E14" i="3"/>
  <c r="E27" i="3"/>
  <c r="U29" i="1"/>
  <c r="J27" i="3" s="1"/>
  <c r="J32" i="1"/>
  <c r="J15" i="1"/>
  <c r="J23" i="1"/>
  <c r="J31" i="1"/>
  <c r="J24" i="1"/>
  <c r="F10" i="3"/>
  <c r="I10" i="3" s="1"/>
  <c r="F14" i="3"/>
  <c r="I14" i="3" s="1"/>
  <c r="F27" i="3"/>
  <c r="I27" i="3" s="1"/>
  <c r="J21" i="1"/>
  <c r="F11" i="3"/>
  <c r="I11" i="3" s="1"/>
  <c r="F18" i="3"/>
  <c r="I18" i="3" s="1"/>
  <c r="J28" i="1"/>
  <c r="M13" i="3" l="1"/>
  <c r="N13" i="3"/>
  <c r="O13" i="3"/>
  <c r="G14" i="2"/>
  <c r="C24" i="2" s="1"/>
  <c r="C22" i="2"/>
  <c r="G16" i="3"/>
  <c r="H34" i="3"/>
  <c r="G34" i="3"/>
  <c r="U30" i="1"/>
  <c r="J28" i="3" s="1"/>
  <c r="N9" i="2"/>
  <c r="J20" i="2" s="1"/>
  <c r="U18" i="7"/>
  <c r="P16" i="3" s="1"/>
  <c r="U33" i="1"/>
  <c r="J31" i="3" s="1"/>
  <c r="E31" i="3"/>
  <c r="H31" i="3" s="1"/>
  <c r="G32" i="3"/>
  <c r="U26" i="1"/>
  <c r="J24" i="3" s="1"/>
  <c r="E24" i="3"/>
  <c r="M24" i="3"/>
  <c r="N24" i="3"/>
  <c r="N8" i="2"/>
  <c r="J19" i="2" s="1"/>
  <c r="U14" i="1"/>
  <c r="J12" i="3" s="1"/>
  <c r="E12" i="3"/>
  <c r="H12" i="3" s="1"/>
  <c r="N29" i="3"/>
  <c r="U21" i="7"/>
  <c r="P19" i="3" s="1"/>
  <c r="M9" i="3"/>
  <c r="M21" i="3"/>
  <c r="N21" i="3"/>
  <c r="M29" i="3"/>
  <c r="U35" i="7"/>
  <c r="P33" i="3" s="1"/>
  <c r="K33" i="3"/>
  <c r="K12" i="3"/>
  <c r="U14" i="7"/>
  <c r="P12" i="3" s="1"/>
  <c r="O10" i="3"/>
  <c r="N10" i="3"/>
  <c r="M10" i="3"/>
  <c r="N32" i="3"/>
  <c r="M32" i="3"/>
  <c r="O32" i="3"/>
  <c r="U27" i="7"/>
  <c r="P25" i="3" s="1"/>
  <c r="K25" i="3"/>
  <c r="O34" i="3"/>
  <c r="M34" i="3"/>
  <c r="N34" i="3"/>
  <c r="O17" i="3"/>
  <c r="M17" i="3"/>
  <c r="N17" i="3"/>
  <c r="O18" i="3"/>
  <c r="M18" i="3"/>
  <c r="N18" i="3"/>
  <c r="N26" i="3"/>
  <c r="M26" i="3"/>
  <c r="O26" i="3"/>
  <c r="K11" i="3"/>
  <c r="U13" i="7"/>
  <c r="P11" i="3" s="1"/>
  <c r="K31" i="3"/>
  <c r="U33" i="7"/>
  <c r="P31" i="3" s="1"/>
  <c r="U32" i="7"/>
  <c r="P30" i="3" s="1"/>
  <c r="K30" i="3"/>
  <c r="K23" i="3"/>
  <c r="U25" i="7"/>
  <c r="P23" i="3" s="1"/>
  <c r="N19" i="3"/>
  <c r="M19" i="3"/>
  <c r="O19" i="3"/>
  <c r="O16" i="3"/>
  <c r="N16" i="3"/>
  <c r="M16" i="3"/>
  <c r="K15" i="3"/>
  <c r="U17" i="7"/>
  <c r="P15" i="3" s="1"/>
  <c r="U16" i="7"/>
  <c r="P14" i="3" s="1"/>
  <c r="K14" i="3"/>
  <c r="K27" i="3"/>
  <c r="U29" i="7"/>
  <c r="P27" i="3" s="1"/>
  <c r="K20" i="3"/>
  <c r="U22" i="7"/>
  <c r="P20" i="3" s="1"/>
  <c r="K22" i="3"/>
  <c r="U24" i="7"/>
  <c r="P22" i="3" s="1"/>
  <c r="E20" i="3"/>
  <c r="G20" i="3" s="1"/>
  <c r="U17" i="1"/>
  <c r="J15" i="3" s="1"/>
  <c r="G15" i="3"/>
  <c r="E28" i="3"/>
  <c r="G28" i="3" s="1"/>
  <c r="E23" i="3"/>
  <c r="H23" i="3" s="1"/>
  <c r="U23" i="1"/>
  <c r="J21" i="3" s="1"/>
  <c r="E21" i="3"/>
  <c r="H11" i="3"/>
  <c r="G11" i="3"/>
  <c r="U15" i="1"/>
  <c r="J13" i="3" s="1"/>
  <c r="E13" i="3"/>
  <c r="E30" i="3"/>
  <c r="U32" i="1"/>
  <c r="J30" i="3" s="1"/>
  <c r="H25" i="3"/>
  <c r="G25" i="3"/>
  <c r="H9" i="3"/>
  <c r="G9" i="3"/>
  <c r="E26" i="3"/>
  <c r="U28" i="1"/>
  <c r="J26" i="3" s="1"/>
  <c r="H27" i="3"/>
  <c r="G27" i="3"/>
  <c r="H18" i="3"/>
  <c r="G18" i="3"/>
  <c r="H33" i="3"/>
  <c r="G33" i="3"/>
  <c r="G31" i="3"/>
  <c r="H14" i="3"/>
  <c r="G14" i="3"/>
  <c r="U24" i="1"/>
  <c r="J22" i="3" s="1"/>
  <c r="E22" i="3"/>
  <c r="H17" i="3"/>
  <c r="G17" i="3"/>
  <c r="U31" i="1"/>
  <c r="J29" i="3" s="1"/>
  <c r="E29" i="3"/>
  <c r="U21" i="1"/>
  <c r="J19" i="3" s="1"/>
  <c r="E19" i="3"/>
  <c r="H28" i="3"/>
  <c r="H10" i="3"/>
  <c r="G10" i="3"/>
  <c r="G23" i="3" l="1"/>
  <c r="H20" i="3"/>
  <c r="G12" i="3"/>
  <c r="H24" i="3"/>
  <c r="G24" i="3"/>
  <c r="N13" i="2"/>
  <c r="J21" i="2" s="1"/>
  <c r="J11" i="2"/>
  <c r="F23" i="2" s="1"/>
  <c r="K11" i="2"/>
  <c r="G23" i="2" s="1"/>
  <c r="O20" i="3"/>
  <c r="N20" i="3"/>
  <c r="M20" i="3"/>
  <c r="J10" i="2"/>
  <c r="M22" i="3"/>
  <c r="O22" i="3"/>
  <c r="N22" i="3"/>
  <c r="H10" i="2"/>
  <c r="I11" i="2"/>
  <c r="E23" i="2" s="1"/>
  <c r="M33" i="3"/>
  <c r="O33" i="3"/>
  <c r="N33" i="3"/>
  <c r="O31" i="3"/>
  <c r="N31" i="3"/>
  <c r="M31" i="3"/>
  <c r="R10" i="2"/>
  <c r="S11" i="2"/>
  <c r="O23" i="2" s="1"/>
  <c r="O11" i="2"/>
  <c r="K23" i="2" s="1"/>
  <c r="Q10" i="2"/>
  <c r="P10" i="2"/>
  <c r="O10" i="2"/>
  <c r="R11" i="2"/>
  <c r="N23" i="2" s="1"/>
  <c r="Q11" i="2"/>
  <c r="M23" i="2" s="1"/>
  <c r="S10" i="2"/>
  <c r="O12" i="3"/>
  <c r="N12" i="3"/>
  <c r="M12" i="3"/>
  <c r="O14" i="3"/>
  <c r="N14" i="3"/>
  <c r="M14" i="3"/>
  <c r="N30" i="3"/>
  <c r="M30" i="3"/>
  <c r="O30" i="3"/>
  <c r="O25" i="3"/>
  <c r="M25" i="3"/>
  <c r="N25" i="3"/>
  <c r="O27" i="3"/>
  <c r="N27" i="3"/>
  <c r="M27" i="3"/>
  <c r="N15" i="3"/>
  <c r="M15" i="3"/>
  <c r="O15" i="3"/>
  <c r="N11" i="3"/>
  <c r="M11" i="3"/>
  <c r="O11" i="3"/>
  <c r="N23" i="3"/>
  <c r="M23" i="3"/>
  <c r="O23" i="3"/>
  <c r="H11" i="2"/>
  <c r="D23" i="2" s="1"/>
  <c r="K10" i="2"/>
  <c r="I10" i="2"/>
  <c r="P11" i="2"/>
  <c r="L23" i="2" s="1"/>
  <c r="Q9" i="2"/>
  <c r="M20" i="2" s="1"/>
  <c r="S8" i="2"/>
  <c r="O19" i="2" s="1"/>
  <c r="H19" i="3"/>
  <c r="G19" i="3"/>
  <c r="K8" i="2"/>
  <c r="S9" i="2"/>
  <c r="O20" i="2" s="1"/>
  <c r="H29" i="3"/>
  <c r="G29" i="3"/>
  <c r="K9" i="2"/>
  <c r="G20" i="2" s="1"/>
  <c r="R9" i="2"/>
  <c r="N20" i="2" s="1"/>
  <c r="I8" i="2"/>
  <c r="H30" i="3"/>
  <c r="G30" i="3"/>
  <c r="Q8" i="2"/>
  <c r="I9" i="2"/>
  <c r="E20" i="2" s="1"/>
  <c r="O9" i="2"/>
  <c r="K20" i="2" s="1"/>
  <c r="H21" i="3"/>
  <c r="G21" i="3"/>
  <c r="J9" i="2"/>
  <c r="F20" i="2" s="1"/>
  <c r="R8" i="2"/>
  <c r="H22" i="3"/>
  <c r="G22" i="3"/>
  <c r="J8" i="2"/>
  <c r="P9" i="2"/>
  <c r="L20" i="2" s="1"/>
  <c r="H13" i="3"/>
  <c r="G13" i="3"/>
  <c r="O8" i="2"/>
  <c r="H26" i="3"/>
  <c r="G26" i="3"/>
  <c r="P8" i="2"/>
  <c r="H9" i="2"/>
  <c r="D20" i="2" s="1"/>
  <c r="H8" i="2"/>
  <c r="N10" i="2" l="1"/>
  <c r="J22" i="2" s="1"/>
  <c r="L10" i="2"/>
  <c r="H22" i="2" s="1"/>
  <c r="M10" i="2"/>
  <c r="I22" i="2" s="1"/>
  <c r="F22" i="2"/>
  <c r="J14" i="2"/>
  <c r="F24" i="2" s="1"/>
  <c r="K14" i="2"/>
  <c r="G24" i="2" s="1"/>
  <c r="G22" i="2"/>
  <c r="N11" i="2"/>
  <c r="J23" i="2" s="1"/>
  <c r="K22" i="2"/>
  <c r="O14" i="2"/>
  <c r="K24" i="2" s="1"/>
  <c r="Q14" i="2"/>
  <c r="M24" i="2" s="1"/>
  <c r="M22" i="2"/>
  <c r="M11" i="2"/>
  <c r="I23" i="2" s="1"/>
  <c r="S14" i="2"/>
  <c r="O24" i="2" s="1"/>
  <c r="O22" i="2"/>
  <c r="R14" i="2"/>
  <c r="N24" i="2" s="1"/>
  <c r="N22" i="2"/>
  <c r="H14" i="2"/>
  <c r="D24" i="2" s="1"/>
  <c r="D22" i="2"/>
  <c r="P14" i="2"/>
  <c r="L24" i="2" s="1"/>
  <c r="L22" i="2"/>
  <c r="E22" i="2"/>
  <c r="I14" i="2"/>
  <c r="E24" i="2" s="1"/>
  <c r="L11" i="2"/>
  <c r="H23" i="2" s="1"/>
  <c r="L8" i="2"/>
  <c r="H19" i="2" s="1"/>
  <c r="L9" i="2"/>
  <c r="H20" i="2" s="1"/>
  <c r="M9" i="2"/>
  <c r="I20" i="2" s="1"/>
  <c r="M8" i="2"/>
  <c r="I19" i="2" s="1"/>
  <c r="K19" i="2"/>
  <c r="O13" i="2"/>
  <c r="K21" i="2" s="1"/>
  <c r="G19" i="2"/>
  <c r="K13" i="2"/>
  <c r="G21" i="2" s="1"/>
  <c r="E19" i="2"/>
  <c r="I13" i="2"/>
  <c r="E21" i="2" s="1"/>
  <c r="L19" i="2"/>
  <c r="P13" i="2"/>
  <c r="L21" i="2" s="1"/>
  <c r="S13" i="2"/>
  <c r="O21" i="2" s="1"/>
  <c r="M19" i="2"/>
  <c r="Q13" i="2"/>
  <c r="M21" i="2" s="1"/>
  <c r="N19" i="2"/>
  <c r="R13" i="2"/>
  <c r="N21" i="2" s="1"/>
  <c r="D19" i="2"/>
  <c r="H13" i="2"/>
  <c r="D21" i="2" s="1"/>
  <c r="F19" i="2"/>
  <c r="J13" i="2"/>
  <c r="F21" i="2" s="1"/>
  <c r="M14" i="2" l="1"/>
  <c r="I24" i="2" s="1"/>
  <c r="L14" i="2"/>
  <c r="H24" i="2" s="1"/>
  <c r="N14" i="2"/>
  <c r="J24" i="2" s="1"/>
  <c r="L13" i="2"/>
  <c r="H21" i="2" s="1"/>
  <c r="M13" i="2"/>
  <c r="I21" i="2" s="1"/>
</calcChain>
</file>

<file path=xl/sharedStrings.xml><?xml version="1.0" encoding="utf-8"?>
<sst xmlns="http://schemas.openxmlformats.org/spreadsheetml/2006/main" count="376" uniqueCount="205">
  <si>
    <t>CRLA2v1</t>
  </si>
  <si>
    <t>ASSESSMENT TYPE</t>
  </si>
  <si>
    <t>EoSY</t>
  </si>
  <si>
    <t>School ID:</t>
  </si>
  <si>
    <t>Total Enrolment</t>
  </si>
  <si>
    <t>Total Assessed :</t>
  </si>
  <si>
    <t>Schoo Name:</t>
  </si>
  <si>
    <t>ROMANA ELEMETARY SCHOOL</t>
  </si>
  <si>
    <t>Male</t>
  </si>
  <si>
    <t>Female</t>
  </si>
  <si>
    <t>Assessment Part 1
(Word Recognition and Sentences Reading)</t>
  </si>
  <si>
    <r>
      <rPr>
        <b/>
        <sz val="9"/>
        <color theme="1"/>
        <rFont val="Calibri"/>
        <family val="2"/>
        <scheme val="minor"/>
      </rPr>
      <t xml:space="preserve">WORDS SCORE 
</t>
    </r>
    <r>
      <rPr>
        <sz val="9"/>
        <color theme="1"/>
        <rFont val="Calibri"/>
        <family val="2"/>
        <scheme val="minor"/>
      </rPr>
      <t xml:space="preserve">0 to 10 – Full Refresher
11 to 16 – Moderate Refresher
</t>
    </r>
    <r>
      <rPr>
        <b/>
        <sz val="9"/>
        <color theme="1"/>
        <rFont val="Calibri"/>
        <family val="2"/>
        <scheme val="minor"/>
      </rPr>
      <t xml:space="preserve">SENTENCE SCORE </t>
    </r>
    <r>
      <rPr>
        <sz val="9"/>
        <color theme="1"/>
        <rFont val="Calibri"/>
        <family val="2"/>
        <scheme val="minor"/>
      </rPr>
      <t xml:space="preserve">
17 to 26 – Light Refresher
27 to 30 – Grade Ready</t>
    </r>
  </si>
  <si>
    <t>Assessment Part 2
 (Reading Fluency and Comprehension)</t>
  </si>
  <si>
    <t>Teacher:</t>
  </si>
  <si>
    <t>MARICAR F. JOAQUIN</t>
  </si>
  <si>
    <t>Grade:</t>
  </si>
  <si>
    <t>Grade 2</t>
  </si>
  <si>
    <t>Total Words per Story</t>
  </si>
  <si>
    <t>Task 1 – Write the number of Words sounded out correctly</t>
  </si>
  <si>
    <t>Rhymes 
(Task 2) 
If task 1 score is 0 to 6</t>
  </si>
  <si>
    <t>Sentence
 (Task 2) 
If task 1 score is 7 to 10
Task 2L=10</t>
  </si>
  <si>
    <t>Total Score = Task 1 Score + Task 2L+Task 2H Score</t>
  </si>
  <si>
    <t>Total Words Per Story</t>
  </si>
  <si>
    <t>Story 1</t>
  </si>
  <si>
    <t>Story 2</t>
  </si>
  <si>
    <t>Section:</t>
  </si>
  <si>
    <t>Story Number 
1 or 2</t>
  </si>
  <si>
    <t>Total Reading Miscues</t>
  </si>
  <si>
    <t>Number of words read within 2 mins</t>
  </si>
  <si>
    <t>Total Time Used in Reading 
(Max : 2 Mins)</t>
  </si>
  <si>
    <t>Number of Words per Minute (WPM)</t>
  </si>
  <si>
    <t>Language:</t>
  </si>
  <si>
    <t>Hiligaynon</t>
  </si>
  <si>
    <t>S/N</t>
  </si>
  <si>
    <t>LRN</t>
  </si>
  <si>
    <t>Name of Learner</t>
  </si>
  <si>
    <t>Sex</t>
  </si>
  <si>
    <t>Date of Asessment</t>
  </si>
  <si>
    <t>Task 1 
(10)</t>
  </si>
  <si>
    <t>Task 2L
Words 
(10)</t>
  </si>
  <si>
    <t>Task 2H
Sentences
(10)</t>
  </si>
  <si>
    <t>Total Score</t>
  </si>
  <si>
    <t>Part 1 Reading Level</t>
  </si>
  <si>
    <t>Story Number</t>
  </si>
  <si>
    <t>Number of Miscue</t>
  </si>
  <si>
    <t>Words Read</t>
  </si>
  <si>
    <r>
      <rPr>
        <b/>
        <sz val="10"/>
        <color theme="1"/>
        <rFont val="Calibri"/>
        <family val="2"/>
        <scheme val="minor"/>
      </rPr>
      <t xml:space="preserve">Total 
</t>
    </r>
    <r>
      <rPr>
        <b/>
        <sz val="9"/>
        <color theme="1"/>
        <rFont val="Calibri"/>
        <family val="2"/>
        <scheme val="minor"/>
      </rPr>
      <t>Mins    Secs</t>
    </r>
  </si>
  <si>
    <t>WPM</t>
  </si>
  <si>
    <t>% of Correct Words Read</t>
  </si>
  <si>
    <t>Total Correct Answer</t>
  </si>
  <si>
    <t>Leaner Experience
(Rating 1-5)</t>
  </si>
  <si>
    <t>Observation Level</t>
  </si>
  <si>
    <t>READING PROFILE</t>
  </si>
  <si>
    <t>Remarks</t>
  </si>
  <si>
    <t>BARGASA, REY JOHN V.</t>
  </si>
  <si>
    <t>Level 2</t>
  </si>
  <si>
    <t xml:space="preserve">BESANES, ZANDER G. </t>
  </si>
  <si>
    <t xml:space="preserve">BERIZAL, KENT ANGELO C. </t>
  </si>
  <si>
    <t xml:space="preserve">DARAS, REYNASH R. </t>
  </si>
  <si>
    <t>Level 3</t>
  </si>
  <si>
    <t>ORTILANO, KLENT Y.</t>
  </si>
  <si>
    <t>ANTONIO, JELAISA JEAN P.</t>
  </si>
  <si>
    <t>CUSTODIO, MARICAR C.</t>
  </si>
  <si>
    <t>DUMAICOS, NOVELYN F.</t>
  </si>
  <si>
    <t>Level 1</t>
  </si>
  <si>
    <t>DUMANIEL, SHANAYA A.</t>
  </si>
  <si>
    <t>ESTOCADA, JULIANA Q.</t>
  </si>
  <si>
    <t>GANCIA, CRISSUN V.</t>
  </si>
  <si>
    <t>JUMBAS, JHAZMAINE KHATE A.</t>
  </si>
  <si>
    <t>Level 4</t>
  </si>
  <si>
    <t>LABANZA, ALEJANDRINE AMIAH G.</t>
  </si>
  <si>
    <t>WORDS SCORE 
0 to 10 – Full Refresher
11 to 16 – Moderate Refresher
SENTENCE SCORE 
17 to 26 – Light Refresher
27 to 30 – Grade Ready</t>
  </si>
  <si>
    <t>Filipino</t>
  </si>
  <si>
    <t>Words
(10)</t>
  </si>
  <si>
    <t>Sentences
(10)</t>
  </si>
  <si>
    <t xml:space="preserve"> </t>
  </si>
  <si>
    <t>School:</t>
  </si>
  <si>
    <t>GRADE 2 Reading Assessment CLASS RECORD</t>
  </si>
  <si>
    <t>FILIPINO</t>
  </si>
  <si>
    <t>Grade 1</t>
  </si>
  <si>
    <t>Assessment Part 1</t>
  </si>
  <si>
    <t>Assessment Part 2</t>
  </si>
  <si>
    <t>Assessment Part 1 Reading Level</t>
  </si>
  <si>
    <t>% of Total Score</t>
  </si>
  <si>
    <t>Reading Fluency</t>
  </si>
  <si>
    <t>Reading Comprehension</t>
  </si>
  <si>
    <t>Average Word Per Minute</t>
  </si>
  <si>
    <t>GRADE 2 Assessment CLASS SUMMARY</t>
  </si>
  <si>
    <t>SCHOOL ID :</t>
  </si>
  <si>
    <t>SCHOOL NAME:</t>
  </si>
  <si>
    <t>Grade</t>
  </si>
  <si>
    <t>Language</t>
  </si>
  <si>
    <t>Number of Learners Enrolled</t>
  </si>
  <si>
    <t>Number of Learners Assessed</t>
  </si>
  <si>
    <t>Assessment Part 2 Average Score</t>
  </si>
  <si>
    <t>Section</t>
  </si>
  <si>
    <t>Teacher</t>
  </si>
  <si>
    <t>Full Refresher</t>
  </si>
  <si>
    <t>Moderate Refresher</t>
  </si>
  <si>
    <t>Light Refresher</t>
  </si>
  <si>
    <t>Grade Ready</t>
  </si>
  <si>
    <t>Ave. WPM</t>
  </si>
  <si>
    <t>Low Emerging Reader</t>
  </si>
  <si>
    <t>High Emerging Reader</t>
  </si>
  <si>
    <t>Developing Reader</t>
  </si>
  <si>
    <t>Transitioning Reader</t>
  </si>
  <si>
    <t>Reading At Grade Level</t>
  </si>
  <si>
    <t>Total</t>
  </si>
  <si>
    <t>Percent (%) of Learners at Each Proficiency Level</t>
  </si>
  <si>
    <t>Average Score</t>
  </si>
  <si>
    <t>Percent of Learners assessed</t>
  </si>
  <si>
    <t>Words Per Minute</t>
  </si>
  <si>
    <t>Reading Level</t>
  </si>
  <si>
    <t>Criteria</t>
  </si>
  <si>
    <t>Observations Level</t>
  </si>
  <si>
    <t>Learner scores 0 to 10 in Assessment Part 1</t>
  </si>
  <si>
    <t>Learner reads less than 25% of the passage in 2 minutes and cannot answer any of the questions</t>
  </si>
  <si>
    <t>Reads word by word</t>
  </si>
  <si>
    <t>Learner reads between 26% to 50% of  passage accurately in 2 minutes  and answers 1 to 2 question correctly</t>
  </si>
  <si>
    <t>Reads word in chunks</t>
  </si>
  <si>
    <t>Learner reads between 51% to 75% of  passage accurately in 2 minutes  AND answers 3 to 4 questions correctly.</t>
  </si>
  <si>
    <t>Reads fluently but not observing functuation marks</t>
  </si>
  <si>
    <t>Learner reads between 76% to 100% of  passage accurately in 2 minutes AND answers 5 to 6 questions correctly.</t>
  </si>
  <si>
    <t>Reads fluently with proper expression</t>
  </si>
  <si>
    <t>Reading</t>
  </si>
  <si>
    <t xml:space="preserve">Region </t>
  </si>
  <si>
    <t>Grade Level</t>
  </si>
  <si>
    <t>Passage Title</t>
  </si>
  <si>
    <t>Number of Words</t>
  </si>
  <si>
    <t xml:space="preserve"> Story 2</t>
  </si>
  <si>
    <t>0%</t>
  </si>
  <si>
    <t>NCR</t>
  </si>
  <si>
    <t>Akeanon</t>
  </si>
  <si>
    <t>Central Bikol</t>
  </si>
  <si>
    <t>An Pagsaud</t>
  </si>
  <si>
    <t>An Sorpresa ni Nanay</t>
  </si>
  <si>
    <t>&lt;50%</t>
  </si>
  <si>
    <t>CAR</t>
  </si>
  <si>
    <t>Bahasa Sug</t>
  </si>
  <si>
    <t>Tagalog</t>
  </si>
  <si>
    <t>Isang Kakaibang Araw</t>
  </si>
  <si>
    <t>Ang Pagong at ang Kuheno</t>
  </si>
  <si>
    <t>50%</t>
  </si>
  <si>
    <t>Region I</t>
  </si>
  <si>
    <t>Bikol Libon</t>
  </si>
  <si>
    <t>Rinconada</t>
  </si>
  <si>
    <t>SI PLUTO</t>
  </si>
  <si>
    <t>SA KADLAGAN</t>
  </si>
  <si>
    <t>&gt;50%</t>
  </si>
  <si>
    <t>Region II</t>
  </si>
  <si>
    <t>Buhi-non</t>
  </si>
  <si>
    <t>Minasbate</t>
  </si>
  <si>
    <t>MAY ESKWELA NA</t>
  </si>
  <si>
    <t xml:space="preserve">SA BARYO NI KALOY </t>
  </si>
  <si>
    <t>100%</t>
  </si>
  <si>
    <t>Region III</t>
  </si>
  <si>
    <t>Caluyanen</t>
  </si>
  <si>
    <t>Region IV-A</t>
  </si>
  <si>
    <t>Sinugbuanong Binisaya</t>
  </si>
  <si>
    <t>Palda ni Perla</t>
  </si>
  <si>
    <t>Si Ana, Ang Batang Matinahuron</t>
  </si>
  <si>
    <t xml:space="preserve">Region IV-B </t>
  </si>
  <si>
    <t>Chavacano</t>
  </si>
  <si>
    <t>Ang Damgo ni Marko</t>
  </si>
  <si>
    <t>Ang Sorpresa</t>
  </si>
  <si>
    <t xml:space="preserve">Region V </t>
  </si>
  <si>
    <t>Cuyonon</t>
  </si>
  <si>
    <t xml:space="preserve">Naduea Ro Tubi </t>
  </si>
  <si>
    <t>Ro Magmaeanghud</t>
  </si>
  <si>
    <t>Region VI</t>
  </si>
  <si>
    <t xml:space="preserve">Kinaray-a </t>
  </si>
  <si>
    <t>Ang Bata nga Parasipal kang Damang</t>
  </si>
  <si>
    <t>Ang Handum ni Lisa</t>
  </si>
  <si>
    <t xml:space="preserve">Region VII </t>
  </si>
  <si>
    <t>Hiliray-a (Kinaray-a Iloilo)</t>
  </si>
  <si>
    <t>Magindanawn</t>
  </si>
  <si>
    <t>Su Bayabas Nila Kamad</t>
  </si>
  <si>
    <t>Su Manga Bedung Ni Saida</t>
  </si>
  <si>
    <t xml:space="preserve">Region VIII </t>
  </si>
  <si>
    <t>Ibanag</t>
  </si>
  <si>
    <t>ANG BOLA NI GLENDA</t>
  </si>
  <si>
    <t>SI BIMBOY</t>
  </si>
  <si>
    <t>Region IX</t>
  </si>
  <si>
    <t>Ilocano</t>
  </si>
  <si>
    <t xml:space="preserve">Region X </t>
  </si>
  <si>
    <t>Inabaknon</t>
  </si>
  <si>
    <t xml:space="preserve">Region XI </t>
  </si>
  <si>
    <t>Ivatan</t>
  </si>
  <si>
    <t xml:space="preserve">Region XII </t>
  </si>
  <si>
    <t>Kapampangan</t>
  </si>
  <si>
    <t xml:space="preserve">Region XIII </t>
  </si>
  <si>
    <t>BARMM</t>
  </si>
  <si>
    <t xml:space="preserve">Meranaw </t>
  </si>
  <si>
    <t>Miraya</t>
  </si>
  <si>
    <t>Northern Catanduanes</t>
  </si>
  <si>
    <t>Northern Sorsoganon</t>
  </si>
  <si>
    <t>Pangasinan</t>
  </si>
  <si>
    <t xml:space="preserve">Sambal </t>
  </si>
  <si>
    <t>Southern Catanduanes</t>
  </si>
  <si>
    <t>Southern Sorsoganon</t>
  </si>
  <si>
    <t>Surigaonon</t>
  </si>
  <si>
    <t>Waray</t>
  </si>
  <si>
    <t>West Albay Bikol</t>
  </si>
  <si>
    <t>Yakan</t>
  </si>
  <si>
    <t>Other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</si>
</sst>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0">
    <font>
      <sz val="11"/>
      <color theme="1"/>
      <name val="Calibri"/>
      <charset val="134"/>
      <scheme val="minor"/>
    </font>
    <font>
      <b/>
      <sz val="12"/>
      <color theme="1"/>
      <name val="Calibri"/>
      <family val="2"/>
      <scheme val="minor"/>
    </font>
    <font>
      <b/>
      <sz val="11"/>
      <color theme="1"/>
      <name val="Calibri"/>
      <family val="2"/>
      <scheme val="minor"/>
    </font>
    <font>
      <b/>
      <sz val="12"/>
      <color theme="0"/>
      <name val="Arial"/>
      <family val="2"/>
    </font>
    <font>
      <b/>
      <sz val="9"/>
      <color theme="1"/>
      <name val="Calibri"/>
      <family val="2"/>
      <scheme val="minor"/>
    </font>
    <font>
      <b/>
      <sz val="10"/>
      <color theme="1"/>
      <name val="Calibri"/>
      <family val="2"/>
      <scheme val="minor"/>
    </font>
    <font>
      <sz val="10"/>
      <color theme="1"/>
      <name val="Calibri"/>
      <family val="2"/>
      <scheme val="minor"/>
    </font>
    <font>
      <sz val="9"/>
      <color theme="1"/>
      <name val="Arial"/>
      <family val="2"/>
    </font>
    <font>
      <b/>
      <sz val="10"/>
      <color theme="1"/>
      <name val="Arial"/>
      <family val="2"/>
    </font>
    <font>
      <sz val="10"/>
      <name val="Arial"/>
      <family val="2"/>
    </font>
    <font>
      <b/>
      <sz val="14"/>
      <color theme="0"/>
      <name val="Arial"/>
      <family val="2"/>
    </font>
    <font>
      <b/>
      <sz val="9"/>
      <color theme="1"/>
      <name val="Arial"/>
      <family val="2"/>
    </font>
    <font>
      <b/>
      <sz val="8"/>
      <color theme="1"/>
      <name val="Arial"/>
      <family val="2"/>
    </font>
    <font>
      <b/>
      <sz val="11"/>
      <color theme="0"/>
      <name val="Calibri"/>
      <family val="2"/>
      <scheme val="minor"/>
    </font>
    <font>
      <sz val="18"/>
      <color theme="1"/>
      <name val="Calibri"/>
      <family val="2"/>
      <scheme val="minor"/>
    </font>
    <font>
      <sz val="11"/>
      <color theme="1"/>
      <name val="Arial"/>
      <family val="2"/>
    </font>
    <font>
      <b/>
      <sz val="10"/>
      <name val="Arial"/>
      <family val="2"/>
    </font>
    <font>
      <b/>
      <sz val="9"/>
      <name val="Arial"/>
      <family val="2"/>
    </font>
    <font>
      <sz val="8"/>
      <color theme="1"/>
      <name val="Arial"/>
      <family val="2"/>
    </font>
    <font>
      <b/>
      <sz val="8"/>
      <name val="Arial"/>
      <family val="2"/>
    </font>
    <font>
      <sz val="10"/>
      <color theme="1"/>
      <name val="Arial"/>
      <family val="2"/>
    </font>
    <font>
      <i/>
      <sz val="10"/>
      <name val="Arial"/>
      <family val="2"/>
    </font>
    <font>
      <i/>
      <sz val="10"/>
      <color theme="1"/>
      <name val="Arial"/>
      <family val="2"/>
    </font>
    <font>
      <sz val="11"/>
      <color rgb="FF000000"/>
      <name val="Arial"/>
      <family val="2"/>
    </font>
    <font>
      <sz val="9"/>
      <color theme="1"/>
      <name val="Calibri"/>
      <family val="2"/>
      <scheme val="minor"/>
    </font>
    <font>
      <b/>
      <i/>
      <sz val="8"/>
      <color theme="1"/>
      <name val="Arial"/>
      <family val="2"/>
    </font>
    <font>
      <sz val="8"/>
      <color theme="1"/>
      <name val="Calibri"/>
      <family val="2"/>
      <scheme val="minor"/>
    </font>
    <font>
      <sz val="11"/>
      <color rgb="FF000000"/>
      <name val="Calibri"/>
      <family val="2"/>
    </font>
    <font>
      <sz val="11"/>
      <color rgb="FFFF0000"/>
      <name val="Calibri"/>
      <family val="2"/>
      <scheme val="minor"/>
    </font>
    <font>
      <sz val="11"/>
      <color theme="1"/>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9" tint="0.79995117038483843"/>
        <bgColor indexed="64"/>
      </patternFill>
    </fill>
    <fill>
      <patternFill patternType="solid">
        <fgColor rgb="FFFFC000"/>
        <bgColor indexed="64"/>
      </patternFill>
    </fill>
    <fill>
      <patternFill patternType="solid">
        <fgColor theme="0" tint="-0.14996795556505021"/>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5117038483843"/>
        <bgColor indexed="64"/>
      </patternFill>
    </fill>
    <fill>
      <patternFill patternType="solid">
        <fgColor theme="7" tint="0.79995117038483843"/>
        <bgColor indexed="64"/>
      </patternFill>
    </fill>
    <fill>
      <patternFill patternType="solid">
        <fgColor theme="1" tint="0.499984740745262"/>
        <bgColor indexed="64"/>
      </patternFill>
    </fill>
    <fill>
      <patternFill patternType="solid">
        <fgColor rgb="FFFFFFFF"/>
        <bgColor indexed="64"/>
      </patternFill>
    </fill>
    <fill>
      <patternFill patternType="solid">
        <fgColor rgb="FFF2F2F2"/>
        <bgColor indexed="64"/>
      </patternFill>
    </fill>
    <fill>
      <patternFill patternType="solid">
        <fgColor theme="0"/>
        <bgColor indexed="64"/>
      </patternFill>
    </fill>
    <fill>
      <patternFill patternType="solid">
        <fgColor theme="2" tint="-0.249977111117893"/>
        <bgColor indexed="64"/>
      </patternFill>
    </fill>
  </fills>
  <borders count="5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style="medium">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thin">
        <color auto="1"/>
      </right>
      <top/>
      <bottom style="thin">
        <color auto="1"/>
      </bottom>
      <diagonal/>
    </border>
    <border>
      <left style="medium">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medium">
        <color auto="1"/>
      </bottom>
      <diagonal/>
    </border>
    <border>
      <left/>
      <right style="thin">
        <color auto="1"/>
      </right>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thin">
        <color auto="1"/>
      </top>
      <bottom/>
      <diagonal/>
    </border>
    <border>
      <left style="thin">
        <color auto="1"/>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s>
  <cellStyleXfs count="2">
    <xf numFmtId="0" fontId="0" fillId="0" borderId="0"/>
    <xf numFmtId="9" fontId="29" fillId="0" borderId="0" applyFont="0" applyFill="0" applyBorder="0" applyAlignment="0" applyProtection="0"/>
  </cellStyleXfs>
  <cellXfs count="364">
    <xf numFmtId="0" fontId="0" fillId="0" borderId="0" xfId="0"/>
    <xf numFmtId="0" fontId="0" fillId="0" borderId="0" xfId="0" applyAlignment="1">
      <alignment horizontal="center"/>
    </xf>
    <xf numFmtId="0" fontId="0" fillId="0" borderId="0" xfId="0" applyAlignment="1">
      <alignment horizontal="left"/>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wrapText="1"/>
    </xf>
    <xf numFmtId="0" fontId="2" fillId="0" borderId="4" xfId="0" applyFont="1" applyBorder="1" applyAlignment="1">
      <alignment vertical="center"/>
    </xf>
    <xf numFmtId="0" fontId="0" fillId="0" borderId="0" xfId="0" applyAlignment="1">
      <alignment vertical="center" wrapText="1"/>
    </xf>
    <xf numFmtId="0" fontId="2" fillId="0" borderId="5" xfId="0" applyFont="1" applyBorder="1" applyAlignment="1">
      <alignment horizontal="left" vertical="center" indent="1"/>
    </xf>
    <xf numFmtId="0" fontId="0" fillId="0" borderId="6" xfId="0" applyBorder="1" applyAlignment="1">
      <alignment vertical="center" wrapText="1"/>
    </xf>
    <xf numFmtId="0" fontId="0" fillId="0" borderId="5" xfId="0" applyBorder="1" applyAlignment="1">
      <alignment vertical="center" wrapText="1"/>
    </xf>
    <xf numFmtId="0" fontId="2" fillId="0" borderId="7" xfId="0" applyFont="1" applyBorder="1" applyAlignment="1">
      <alignment vertical="center"/>
    </xf>
    <xf numFmtId="0" fontId="2" fillId="0" borderId="8" xfId="0" applyFont="1" applyBorder="1" applyAlignment="1">
      <alignment vertical="center"/>
    </xf>
    <xf numFmtId="0" fontId="0" fillId="0" borderId="9" xfId="0" applyBorder="1" applyAlignment="1">
      <alignment vertical="center" wrapText="1"/>
    </xf>
    <xf numFmtId="0" fontId="2" fillId="0" borderId="9" xfId="0" applyFont="1" applyBorder="1" applyAlignment="1">
      <alignment horizontal="left" vertical="center" indent="1"/>
    </xf>
    <xf numFmtId="0" fontId="0" fillId="0" borderId="10" xfId="0" applyBorder="1" applyAlignment="1">
      <alignment vertical="center" wrapText="1"/>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5" xfId="0" applyFont="1" applyFill="1" applyBorder="1" applyAlignment="1" applyProtection="1">
      <alignment horizontal="center" vertical="center" wrapText="1"/>
      <protection hidden="1"/>
    </xf>
    <xf numFmtId="0" fontId="6" fillId="0" borderId="4" xfId="0" applyFont="1" applyBorder="1" applyAlignment="1" applyProtection="1">
      <alignment vertical="center"/>
      <protection hidden="1"/>
    </xf>
    <xf numFmtId="0" fontId="6" fillId="0" borderId="5" xfId="0" applyFont="1" applyBorder="1" applyAlignment="1" applyProtection="1">
      <alignment vertical="center"/>
      <protection hidden="1"/>
    </xf>
    <xf numFmtId="0" fontId="6" fillId="0" borderId="5" xfId="0" applyFont="1" applyBorder="1" applyAlignment="1" applyProtection="1">
      <alignment horizontal="center" vertical="center"/>
      <protection hidden="1"/>
    </xf>
    <xf numFmtId="0" fontId="6"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0" fontId="0" fillId="0" borderId="5" xfId="0" applyBorder="1" applyAlignment="1" applyProtection="1">
      <alignment horizontal="center" vertical="center" wrapText="1"/>
      <protection hidden="1"/>
    </xf>
    <xf numFmtId="0" fontId="6" fillId="0" borderId="8" xfId="0" applyFont="1" applyBorder="1" applyAlignment="1" applyProtection="1">
      <alignment vertical="center"/>
      <protection hidden="1"/>
    </xf>
    <xf numFmtId="0" fontId="6" fillId="0" borderId="9" xfId="0" applyFont="1" applyBorder="1" applyAlignment="1" applyProtection="1">
      <alignment vertical="center"/>
      <protection hidden="1"/>
    </xf>
    <xf numFmtId="0" fontId="6" fillId="0" borderId="9" xfId="0" applyFont="1" applyBorder="1" applyAlignment="1" applyProtection="1">
      <alignment horizontal="center" vertical="center"/>
      <protection hidden="1"/>
    </xf>
    <xf numFmtId="0" fontId="6"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6" fillId="0" borderId="0" xfId="0" applyFont="1" applyAlignment="1" applyProtection="1">
      <alignment vertical="center"/>
      <protection hidden="1"/>
    </xf>
    <xf numFmtId="0" fontId="6" fillId="0" borderId="0" xfId="0" applyFont="1" applyAlignment="1" applyProtection="1">
      <alignment horizontal="center" vertical="center"/>
      <protection hidden="1"/>
    </xf>
    <xf numFmtId="0" fontId="6"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5" fillId="0" borderId="1" xfId="0" applyFont="1" applyBorder="1" applyAlignment="1" applyProtection="1">
      <alignment vertical="center"/>
      <protection hidden="1"/>
    </xf>
    <xf numFmtId="0" fontId="5" fillId="0" borderId="2" xfId="0" applyFont="1" applyBorder="1" applyAlignment="1" applyProtection="1">
      <alignment vertical="center"/>
      <protection hidden="1"/>
    </xf>
    <xf numFmtId="0" fontId="5" fillId="0" borderId="2" xfId="0" applyFont="1" applyBorder="1" applyAlignment="1" applyProtection="1">
      <alignment horizontal="center" vertical="center"/>
      <protection hidden="1"/>
    </xf>
    <xf numFmtId="0" fontId="5"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protection hidden="1"/>
    </xf>
    <xf numFmtId="0" fontId="5"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protection hidden="1"/>
    </xf>
    <xf numFmtId="0" fontId="2" fillId="5" borderId="13" xfId="0" applyFont="1" applyFill="1" applyBorder="1" applyAlignment="1">
      <alignment wrapText="1"/>
    </xf>
    <xf numFmtId="0" fontId="2" fillId="5" borderId="14" xfId="0" applyFont="1" applyFill="1" applyBorder="1" applyAlignment="1">
      <alignment horizontal="center"/>
    </xf>
    <xf numFmtId="0" fontId="2" fillId="5" borderId="15" xfId="0" applyFont="1" applyFill="1" applyBorder="1" applyAlignment="1">
      <alignment horizontal="center"/>
    </xf>
    <xf numFmtId="0" fontId="2" fillId="5" borderId="15" xfId="0" applyFont="1" applyFill="1" applyBorder="1" applyAlignment="1">
      <alignment wrapText="1"/>
    </xf>
    <xf numFmtId="0" fontId="2" fillId="5" borderId="17" xfId="0" applyFont="1" applyFill="1" applyBorder="1"/>
    <xf numFmtId="0" fontId="2" fillId="5" borderId="18" xfId="0" applyFont="1" applyFill="1" applyBorder="1"/>
    <xf numFmtId="0" fontId="2" fillId="5" borderId="18" xfId="0" applyFont="1" applyFill="1" applyBorder="1" applyAlignment="1">
      <alignment horizontal="center" wrapText="1"/>
    </xf>
    <xf numFmtId="0" fontId="0" fillId="0" borderId="4" xfId="0" applyBorder="1"/>
    <xf numFmtId="0" fontId="0" fillId="0" borderId="5" xfId="0" applyBorder="1"/>
    <xf numFmtId="9" fontId="0" fillId="0" borderId="5" xfId="1" applyFont="1" applyBorder="1" applyAlignment="1">
      <alignment horizontal="center"/>
    </xf>
    <xf numFmtId="9" fontId="0" fillId="0" borderId="5" xfId="0" applyNumberFormat="1" applyBorder="1" applyAlignment="1">
      <alignment horizontal="center"/>
    </xf>
    <xf numFmtId="0" fontId="2" fillId="7" borderId="8" xfId="0" applyFont="1" applyFill="1" applyBorder="1"/>
    <xf numFmtId="0" fontId="2" fillId="0" borderId="9" xfId="0" applyFont="1" applyBorder="1"/>
    <xf numFmtId="9" fontId="2" fillId="7" borderId="9" xfId="0" applyNumberFormat="1" applyFont="1" applyFill="1" applyBorder="1" applyAlignment="1">
      <alignment horizontal="center"/>
    </xf>
    <xf numFmtId="0" fontId="0" fillId="0" borderId="17" xfId="0" applyBorder="1"/>
    <xf numFmtId="0" fontId="0" fillId="0" borderId="18" xfId="0" applyBorder="1"/>
    <xf numFmtId="9" fontId="0" fillId="0" borderId="18" xfId="1" applyFont="1" applyBorder="1" applyAlignment="1">
      <alignment horizontal="center"/>
    </xf>
    <xf numFmtId="0" fontId="2" fillId="0" borderId="0" xfId="0" applyFont="1"/>
    <xf numFmtId="9" fontId="2" fillId="0" borderId="0" xfId="0" applyNumberFormat="1" applyFont="1" applyAlignment="1">
      <alignment horizontal="center"/>
    </xf>
    <xf numFmtId="0" fontId="5" fillId="3" borderId="2" xfId="0" applyFont="1" applyFill="1" applyBorder="1" applyAlignment="1" applyProtection="1">
      <alignment wrapText="1"/>
      <protection hidden="1"/>
    </xf>
    <xf numFmtId="0" fontId="4" fillId="3" borderId="5" xfId="0" applyFont="1" applyFill="1" applyBorder="1" applyAlignment="1" applyProtection="1">
      <alignment horizontal="center" vertical="center" wrapText="1"/>
      <protection hidden="1"/>
    </xf>
    <xf numFmtId="10" fontId="0" fillId="0" borderId="5" xfId="0" applyNumberFormat="1" applyBorder="1" applyAlignment="1">
      <alignment horizontal="center" vertical="center"/>
    </xf>
    <xf numFmtId="2" fontId="0" fillId="0" borderId="5" xfId="0" applyNumberFormat="1" applyBorder="1" applyAlignment="1">
      <alignment horizontal="center" vertical="center"/>
    </xf>
    <xf numFmtId="0" fontId="0" fillId="3" borderId="5" xfId="0" applyFill="1" applyBorder="1" applyAlignment="1" applyProtection="1">
      <alignment horizontal="center" vertical="center"/>
      <protection hidden="1"/>
    </xf>
    <xf numFmtId="10" fontId="0" fillId="0" borderId="9" xfId="0" applyNumberFormat="1" applyBorder="1" applyAlignment="1">
      <alignment horizontal="center" vertical="center"/>
    </xf>
    <xf numFmtId="2" fontId="0" fillId="0" borderId="9" xfId="0" applyNumberFormat="1" applyBorder="1" applyAlignment="1">
      <alignment horizontal="center" vertical="center"/>
    </xf>
    <xf numFmtId="0" fontId="0" fillId="3" borderId="9" xfId="0" applyFill="1" applyBorder="1" applyAlignment="1" applyProtection="1">
      <alignment horizontal="center" vertical="center"/>
      <protection hidden="1"/>
    </xf>
    <xf numFmtId="2" fontId="0" fillId="0" borderId="0" xfId="0" applyNumberFormat="1" applyAlignment="1">
      <alignment horizontal="center" vertical="center"/>
    </xf>
    <xf numFmtId="10" fontId="0" fillId="0" borderId="2" xfId="0" applyNumberFormat="1" applyBorder="1" applyAlignment="1">
      <alignment horizontal="center" vertical="center"/>
    </xf>
    <xf numFmtId="2" fontId="0" fillId="0" borderId="2" xfId="0" applyNumberFormat="1" applyBorder="1" applyAlignment="1">
      <alignment horizontal="center" vertical="center"/>
    </xf>
    <xf numFmtId="0" fontId="2" fillId="3" borderId="2" xfId="0" applyFont="1" applyFill="1" applyBorder="1" applyAlignment="1" applyProtection="1">
      <alignment horizontal="center" vertical="center"/>
      <protection hidden="1"/>
    </xf>
    <xf numFmtId="0" fontId="2" fillId="3" borderId="9" xfId="0" applyFont="1" applyFill="1" applyBorder="1" applyAlignment="1" applyProtection="1">
      <alignment horizontal="center" vertical="center"/>
      <protection hidden="1"/>
    </xf>
    <xf numFmtId="0" fontId="0" fillId="0" borderId="20" xfId="0" applyBorder="1"/>
    <xf numFmtId="0" fontId="4" fillId="3" borderId="6" xfId="0" applyFont="1" applyFill="1" applyBorder="1" applyAlignment="1" applyProtection="1">
      <alignment horizontal="center" vertical="center" wrapText="1"/>
      <protection hidden="1"/>
    </xf>
    <xf numFmtId="0" fontId="4" fillId="0" borderId="20" xfId="0" applyFont="1" applyBorder="1" applyAlignment="1" applyProtection="1">
      <alignment horizontal="center" vertical="center" wrapText="1"/>
      <protection hidden="1"/>
    </xf>
    <xf numFmtId="2" fontId="0" fillId="0" borderId="5" xfId="1" applyNumberFormat="1" applyFont="1" applyBorder="1" applyAlignment="1">
      <alignment horizontal="center"/>
    </xf>
    <xf numFmtId="9" fontId="0" fillId="3" borderId="5" xfId="1" applyFont="1" applyFill="1" applyBorder="1" applyAlignment="1">
      <alignment horizontal="center"/>
    </xf>
    <xf numFmtId="9" fontId="0" fillId="3" borderId="6" xfId="1" applyFont="1" applyFill="1" applyBorder="1" applyAlignment="1">
      <alignment horizontal="center"/>
    </xf>
    <xf numFmtId="2" fontId="0" fillId="0" borderId="5" xfId="0" applyNumberFormat="1" applyBorder="1" applyAlignment="1">
      <alignment horizontal="center"/>
    </xf>
    <xf numFmtId="9" fontId="0" fillId="3" borderId="5" xfId="0" applyNumberFormat="1" applyFill="1" applyBorder="1" applyAlignment="1">
      <alignment horizontal="center"/>
    </xf>
    <xf numFmtId="9" fontId="0" fillId="3" borderId="6" xfId="0" applyNumberFormat="1" applyFill="1" applyBorder="1" applyAlignment="1">
      <alignment horizontal="center"/>
    </xf>
    <xf numFmtId="2" fontId="2" fillId="7" borderId="9" xfId="0" applyNumberFormat="1" applyFont="1" applyFill="1" applyBorder="1" applyAlignment="1">
      <alignment horizontal="center"/>
    </xf>
    <xf numFmtId="9" fontId="2" fillId="3" borderId="5" xfId="0" applyNumberFormat="1" applyFont="1" applyFill="1" applyBorder="1" applyAlignment="1">
      <alignment horizontal="center"/>
    </xf>
    <xf numFmtId="9" fontId="2" fillId="3" borderId="9" xfId="0" applyNumberFormat="1" applyFont="1" applyFill="1" applyBorder="1" applyAlignment="1">
      <alignment horizontal="center"/>
    </xf>
    <xf numFmtId="9" fontId="2" fillId="3" borderId="10" xfId="0" applyNumberFormat="1" applyFont="1" applyFill="1" applyBorder="1" applyAlignment="1">
      <alignment horizontal="center"/>
    </xf>
    <xf numFmtId="2" fontId="0" fillId="0" borderId="18" xfId="1" applyNumberFormat="1" applyFont="1" applyBorder="1" applyAlignment="1">
      <alignment horizontal="center"/>
    </xf>
    <xf numFmtId="9" fontId="0" fillId="3" borderId="18" xfId="1" applyFont="1" applyFill="1" applyBorder="1" applyAlignment="1">
      <alignment horizontal="center"/>
    </xf>
    <xf numFmtId="9" fontId="0" fillId="3" borderId="23" xfId="1" applyFont="1" applyFill="1" applyBorder="1" applyAlignment="1">
      <alignment horizontal="center"/>
    </xf>
    <xf numFmtId="0" fontId="0" fillId="0" borderId="0" xfId="0" applyAlignment="1">
      <alignment vertical="center"/>
    </xf>
    <xf numFmtId="0" fontId="7" fillId="0" borderId="0" xfId="0" applyFont="1" applyAlignment="1">
      <alignment horizontal="center"/>
    </xf>
    <xf numFmtId="0" fontId="11" fillId="10" borderId="5"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5" xfId="0" applyFont="1" applyFill="1" applyBorder="1" applyAlignment="1">
      <alignment vertical="center"/>
    </xf>
    <xf numFmtId="0" fontId="11" fillId="8" borderId="5" xfId="0" applyFont="1" applyFill="1" applyBorder="1" applyAlignment="1">
      <alignment horizontal="center" vertical="center"/>
    </xf>
    <xf numFmtId="0" fontId="12" fillId="10" borderId="5" xfId="0" applyFont="1" applyFill="1" applyBorder="1" applyAlignment="1">
      <alignment horizontal="center" vertical="center" wrapText="1"/>
    </xf>
    <xf numFmtId="0" fontId="0" fillId="0" borderId="4" xfId="0" applyBorder="1" applyAlignment="1">
      <alignment vertical="center"/>
    </xf>
    <xf numFmtId="1" fontId="0" fillId="0" borderId="5" xfId="0" applyNumberFormat="1" applyBorder="1" applyAlignment="1">
      <alignment horizontal="left" vertical="center"/>
    </xf>
    <xf numFmtId="0" fontId="0" fillId="0" borderId="5" xfId="0" applyBorder="1" applyAlignment="1">
      <alignment vertical="center"/>
    </xf>
    <xf numFmtId="0" fontId="0" fillId="0" borderId="5" xfId="0" applyBorder="1" applyAlignment="1">
      <alignment horizontal="center" vertical="center"/>
    </xf>
    <xf numFmtId="1" fontId="0" fillId="10" borderId="5" xfId="0" applyNumberFormat="1" applyFill="1" applyBorder="1" applyAlignment="1">
      <alignment horizontal="center" vertical="center"/>
    </xf>
    <xf numFmtId="9" fontId="0" fillId="10" borderId="5" xfId="0" applyNumberFormat="1" applyFill="1" applyBorder="1" applyAlignment="1">
      <alignment horizontal="center" vertical="center"/>
    </xf>
    <xf numFmtId="0" fontId="0" fillId="7" borderId="4" xfId="0" applyFill="1" applyBorder="1" applyAlignment="1">
      <alignment vertical="center"/>
    </xf>
    <xf numFmtId="1" fontId="0" fillId="7" borderId="5" xfId="0" applyNumberFormat="1" applyFill="1" applyBorder="1" applyAlignment="1">
      <alignment horizontal="left" vertical="center"/>
    </xf>
    <xf numFmtId="0" fontId="0" fillId="7" borderId="5" xfId="0" applyFill="1" applyBorder="1" applyAlignment="1">
      <alignment vertical="center"/>
    </xf>
    <xf numFmtId="0" fontId="0" fillId="7" borderId="5" xfId="0" applyFill="1" applyBorder="1" applyAlignment="1">
      <alignment horizontal="center" vertical="center"/>
    </xf>
    <xf numFmtId="0" fontId="11" fillId="11" borderId="5" xfId="0" applyFont="1" applyFill="1" applyBorder="1" applyAlignment="1">
      <alignment horizontal="center" vertical="center" wrapText="1"/>
    </xf>
    <xf numFmtId="0" fontId="8" fillId="11" borderId="5" xfId="0" applyFont="1" applyFill="1" applyBorder="1" applyAlignment="1">
      <alignment vertical="center" wrapText="1"/>
    </xf>
    <xf numFmtId="0" fontId="12" fillId="11" borderId="5" xfId="0" applyFont="1" applyFill="1" applyBorder="1" applyAlignment="1">
      <alignment horizontal="center" vertical="center" wrapText="1"/>
    </xf>
    <xf numFmtId="0" fontId="11" fillId="11" borderId="5" xfId="0" applyFont="1" applyFill="1" applyBorder="1" applyAlignment="1">
      <alignment horizontal="center" vertical="center"/>
    </xf>
    <xf numFmtId="1" fontId="0" fillId="10" borderId="5" xfId="0" applyNumberFormat="1" applyFill="1" applyBorder="1" applyAlignment="1">
      <alignment horizontal="center" vertical="center" wrapText="1"/>
    </xf>
    <xf numFmtId="1" fontId="0" fillId="11" borderId="5" xfId="0" applyNumberFormat="1" applyFill="1" applyBorder="1" applyAlignment="1">
      <alignment horizontal="center" vertical="center"/>
    </xf>
    <xf numFmtId="9" fontId="0" fillId="11" borderId="5" xfId="0" applyNumberFormat="1" applyFill="1" applyBorder="1" applyAlignment="1">
      <alignment horizontal="center" vertical="center"/>
    </xf>
    <xf numFmtId="1" fontId="0" fillId="11" borderId="5" xfId="0" applyNumberFormat="1" applyFill="1" applyBorder="1" applyAlignment="1">
      <alignment horizontal="center" vertical="center" wrapText="1"/>
    </xf>
    <xf numFmtId="0" fontId="0" fillId="10" borderId="5" xfId="0" applyFill="1" applyBorder="1" applyAlignment="1">
      <alignment horizontal="center" vertical="center" wrapText="1"/>
    </xf>
    <xf numFmtId="0" fontId="0" fillId="11" borderId="5" xfId="0" applyFill="1" applyBorder="1" applyAlignment="1">
      <alignment horizontal="center" vertical="center" wrapText="1"/>
    </xf>
    <xf numFmtId="0" fontId="0" fillId="0" borderId="6" xfId="0" applyBorder="1" applyAlignment="1">
      <alignment horizontal="left" vertical="center" wrapText="1"/>
    </xf>
    <xf numFmtId="0" fontId="0" fillId="7" borderId="6" xfId="0" applyFill="1" applyBorder="1" applyAlignment="1">
      <alignment horizontal="left" vertical="center" wrapText="1"/>
    </xf>
    <xf numFmtId="0" fontId="0" fillId="7" borderId="8" xfId="0" applyFill="1" applyBorder="1" applyAlignment="1">
      <alignment vertical="center"/>
    </xf>
    <xf numFmtId="1" fontId="0" fillId="7" borderId="9" xfId="0" applyNumberFormat="1" applyFill="1" applyBorder="1" applyAlignment="1">
      <alignment horizontal="left" vertical="center"/>
    </xf>
    <xf numFmtId="0" fontId="0" fillId="7" borderId="9" xfId="0" applyFill="1" applyBorder="1" applyAlignment="1">
      <alignment vertical="center"/>
    </xf>
    <xf numFmtId="0" fontId="0" fillId="7" borderId="9" xfId="0" applyFill="1" applyBorder="1" applyAlignment="1">
      <alignment horizontal="center" vertical="center"/>
    </xf>
    <xf numFmtId="1" fontId="0" fillId="10" borderId="9" xfId="0" applyNumberFormat="1" applyFill="1" applyBorder="1" applyAlignment="1">
      <alignment horizontal="center" vertical="center"/>
    </xf>
    <xf numFmtId="9" fontId="0" fillId="10" borderId="9" xfId="0" applyNumberFormat="1" applyFill="1" applyBorder="1" applyAlignment="1">
      <alignment horizontal="center" vertical="center"/>
    </xf>
    <xf numFmtId="0" fontId="0" fillId="10" borderId="9" xfId="0" applyFill="1" applyBorder="1" applyAlignment="1">
      <alignment horizontal="center" vertical="center" wrapText="1"/>
    </xf>
    <xf numFmtId="1" fontId="0" fillId="11" borderId="9" xfId="0" applyNumberFormat="1" applyFill="1" applyBorder="1" applyAlignment="1">
      <alignment horizontal="center" vertical="center"/>
    </xf>
    <xf numFmtId="9" fontId="0" fillId="11" borderId="9" xfId="0" applyNumberFormat="1" applyFill="1" applyBorder="1" applyAlignment="1">
      <alignment horizontal="center" vertical="center"/>
    </xf>
    <xf numFmtId="0" fontId="0" fillId="11" borderId="9" xfId="0" applyFill="1" applyBorder="1" applyAlignment="1">
      <alignment horizontal="center" vertical="center" wrapText="1"/>
    </xf>
    <xf numFmtId="0" fontId="0" fillId="7" borderId="10" xfId="0" applyFill="1" applyBorder="1" applyAlignment="1">
      <alignment horizontal="left" vertical="center" wrapText="1"/>
    </xf>
    <xf numFmtId="0" fontId="0" fillId="0" borderId="0" xfId="0" applyAlignment="1">
      <alignment horizontal="center" wrapText="1"/>
    </xf>
    <xf numFmtId="0" fontId="14" fillId="5" borderId="26" xfId="0" applyFont="1" applyFill="1" applyBorder="1" applyAlignment="1">
      <alignment vertical="center"/>
    </xf>
    <xf numFmtId="0" fontId="15" fillId="5" borderId="2" xfId="0" applyFont="1" applyFill="1" applyBorder="1" applyAlignment="1">
      <alignment horizontal="left"/>
    </xf>
    <xf numFmtId="0" fontId="16" fillId="5" borderId="1" xfId="0" applyFont="1" applyFill="1" applyBorder="1" applyAlignment="1">
      <alignment horizontal="center" wrapText="1"/>
    </xf>
    <xf numFmtId="0" fontId="9" fillId="5" borderId="5" xfId="0" applyFont="1" applyFill="1" applyBorder="1" applyAlignment="1">
      <alignment horizontal="left" wrapText="1"/>
    </xf>
    <xf numFmtId="0" fontId="17" fillId="9" borderId="22" xfId="0" applyFont="1" applyFill="1" applyBorder="1" applyAlignment="1">
      <alignment horizontal="center" wrapText="1"/>
    </xf>
    <xf numFmtId="0" fontId="17" fillId="9" borderId="6" xfId="0" applyFont="1" applyFill="1" applyBorder="1" applyAlignment="1">
      <alignment horizontal="center" wrapText="1"/>
    </xf>
    <xf numFmtId="0" fontId="0" fillId="8" borderId="22" xfId="0" applyFill="1" applyBorder="1" applyAlignment="1">
      <alignment horizontal="center"/>
    </xf>
    <xf numFmtId="0" fontId="0" fillId="8" borderId="6" xfId="0" applyFill="1" applyBorder="1" applyAlignment="1">
      <alignment horizontal="center"/>
    </xf>
    <xf numFmtId="0" fontId="19" fillId="9" borderId="22" xfId="0" applyFont="1" applyFill="1" applyBorder="1" applyAlignment="1">
      <alignment horizontal="center" wrapText="1"/>
    </xf>
    <xf numFmtId="0" fontId="12" fillId="9" borderId="6" xfId="0" applyFont="1" applyFill="1" applyBorder="1" applyAlignment="1">
      <alignment horizontal="center" wrapText="1"/>
    </xf>
    <xf numFmtId="0" fontId="20" fillId="5" borderId="9" xfId="0" applyFont="1" applyFill="1" applyBorder="1" applyAlignment="1">
      <alignment horizontal="left"/>
    </xf>
    <xf numFmtId="0" fontId="21" fillId="0" borderId="34" xfId="0" applyFont="1" applyBorder="1" applyAlignment="1">
      <alignment horizontal="center" wrapText="1"/>
    </xf>
    <xf numFmtId="0" fontId="22" fillId="0" borderId="10" xfId="0" applyFont="1" applyBorder="1" applyAlignment="1">
      <alignment horizontal="center" wrapText="1"/>
    </xf>
    <xf numFmtId="0" fontId="8" fillId="8" borderId="37" xfId="0" applyFont="1" applyFill="1" applyBorder="1" applyAlignment="1">
      <alignment horizontal="center" vertical="center" wrapText="1"/>
    </xf>
    <xf numFmtId="0" fontId="8" fillId="8" borderId="38" xfId="0" applyFont="1" applyFill="1" applyBorder="1" applyAlignment="1">
      <alignment horizontal="center" vertical="center" wrapText="1"/>
    </xf>
    <xf numFmtId="0" fontId="5" fillId="8" borderId="39" xfId="0" applyFont="1" applyFill="1" applyBorder="1" applyAlignment="1">
      <alignment horizontal="center" vertical="center"/>
    </xf>
    <xf numFmtId="0" fontId="5" fillId="8" borderId="40" xfId="0" applyFont="1" applyFill="1" applyBorder="1" applyAlignment="1">
      <alignment horizontal="center" vertical="center"/>
    </xf>
    <xf numFmtId="0" fontId="5" fillId="8" borderId="38" xfId="0" applyFont="1" applyFill="1" applyBorder="1" applyAlignment="1">
      <alignment horizontal="center" vertical="center" wrapText="1"/>
    </xf>
    <xf numFmtId="0" fontId="5" fillId="8" borderId="37" xfId="0" applyFont="1" applyFill="1" applyBorder="1" applyAlignment="1">
      <alignment horizontal="center" vertical="center" wrapText="1"/>
    </xf>
    <xf numFmtId="0" fontId="5" fillId="8" borderId="40" xfId="0" applyFont="1" applyFill="1" applyBorder="1" applyAlignment="1">
      <alignment horizontal="center" vertical="center" wrapText="1"/>
    </xf>
    <xf numFmtId="1" fontId="0" fillId="5" borderId="18" xfId="0" applyNumberFormat="1" applyFill="1" applyBorder="1" applyAlignment="1">
      <alignment horizontal="center"/>
    </xf>
    <xf numFmtId="1" fontId="0" fillId="5" borderId="18" xfId="0" applyNumberFormat="1" applyFill="1" applyBorder="1" applyAlignment="1">
      <alignment horizontal="left"/>
    </xf>
    <xf numFmtId="164" fontId="0" fillId="5" borderId="23" xfId="0" applyNumberFormat="1" applyFill="1" applyBorder="1" applyAlignment="1">
      <alignment horizontal="center"/>
    </xf>
    <xf numFmtId="0" fontId="0" fillId="0" borderId="17" xfId="0" applyBorder="1" applyAlignment="1" applyProtection="1">
      <alignment horizontal="center" wrapText="1"/>
      <protection locked="0"/>
    </xf>
    <xf numFmtId="0" fontId="0" fillId="0" borderId="18" xfId="0" applyBorder="1" applyAlignment="1" applyProtection="1">
      <alignment horizontal="center" wrapText="1"/>
      <protection locked="0"/>
    </xf>
    <xf numFmtId="0" fontId="0" fillId="7" borderId="4" xfId="0" applyFill="1" applyBorder="1"/>
    <xf numFmtId="1" fontId="0" fillId="5" borderId="5" xfId="0" applyNumberFormat="1" applyFill="1" applyBorder="1" applyAlignment="1">
      <alignment horizontal="center"/>
    </xf>
    <xf numFmtId="0" fontId="0" fillId="5" borderId="5" xfId="0" applyFill="1" applyBorder="1"/>
    <xf numFmtId="0" fontId="0" fillId="5" borderId="5" xfId="0" applyFill="1" applyBorder="1" applyAlignment="1">
      <alignment horizontal="center"/>
    </xf>
    <xf numFmtId="164" fontId="0" fillId="5" borderId="6" xfId="0" applyNumberFormat="1" applyFill="1" applyBorder="1" applyAlignment="1">
      <alignment horizontal="center"/>
    </xf>
    <xf numFmtId="0" fontId="15" fillId="7" borderId="4" xfId="0" applyFont="1" applyFill="1" applyBorder="1" applyAlignment="1" applyProtection="1">
      <alignment horizontal="center" vertical="top" wrapText="1"/>
      <protection locked="0"/>
    </xf>
    <xf numFmtId="0" fontId="0" fillId="7" borderId="5" xfId="0" applyFill="1" applyBorder="1" applyAlignment="1" applyProtection="1">
      <alignment horizontal="center" wrapText="1"/>
      <protection locked="0"/>
    </xf>
    <xf numFmtId="0" fontId="15" fillId="13" borderId="4" xfId="0" applyFont="1" applyFill="1" applyBorder="1" applyAlignment="1" applyProtection="1">
      <alignment horizontal="center" vertical="top" wrapText="1"/>
      <protection locked="0"/>
    </xf>
    <xf numFmtId="1" fontId="0" fillId="0" borderId="5" xfId="0" applyNumberFormat="1" applyBorder="1" applyAlignment="1" applyProtection="1">
      <alignment horizontal="center"/>
      <protection locked="0"/>
    </xf>
    <xf numFmtId="1" fontId="0" fillId="7" borderId="5" xfId="0" applyNumberFormat="1" applyFill="1" applyBorder="1" applyAlignment="1" applyProtection="1">
      <alignment horizontal="center"/>
      <protection locked="0"/>
    </xf>
    <xf numFmtId="1" fontId="0" fillId="5" borderId="5" xfId="0" applyNumberFormat="1" applyFill="1" applyBorder="1" applyAlignment="1">
      <alignment horizontal="left"/>
    </xf>
    <xf numFmtId="0" fontId="23" fillId="13" borderId="4" xfId="0" applyFont="1" applyFill="1" applyBorder="1" applyAlignment="1" applyProtection="1">
      <alignment horizontal="center" vertical="top" wrapText="1"/>
      <protection locked="0"/>
    </xf>
    <xf numFmtId="0" fontId="23" fillId="14" borderId="4" xfId="0" applyFont="1" applyFill="1" applyBorder="1" applyAlignment="1" applyProtection="1">
      <alignment horizontal="center" vertical="top" wrapText="1"/>
      <protection locked="0"/>
    </xf>
    <xf numFmtId="0" fontId="8" fillId="5" borderId="2" xfId="0" applyFont="1" applyFill="1" applyBorder="1" applyAlignment="1" applyProtection="1">
      <alignment horizontal="center" vertical="center" wrapText="1"/>
      <protection hidden="1"/>
    </xf>
    <xf numFmtId="0" fontId="3" fillId="6" borderId="41" xfId="0" applyFont="1" applyFill="1" applyBorder="1"/>
    <xf numFmtId="0" fontId="3" fillId="6" borderId="42" xfId="0" applyFont="1" applyFill="1" applyBorder="1"/>
    <xf numFmtId="0" fontId="12" fillId="8" borderId="4" xfId="0" applyFont="1" applyFill="1" applyBorder="1" applyAlignment="1">
      <alignment horizontal="center" vertical="center" wrapText="1"/>
    </xf>
    <xf numFmtId="0" fontId="25" fillId="8" borderId="5" xfId="0" applyFont="1" applyFill="1" applyBorder="1" applyAlignment="1">
      <alignment horizontal="center" vertical="center" wrapText="1"/>
    </xf>
    <xf numFmtId="0" fontId="20" fillId="5" borderId="5" xfId="0" applyFont="1" applyFill="1" applyBorder="1" applyAlignment="1">
      <alignment horizontal="center" vertical="center" wrapText="1"/>
    </xf>
    <xf numFmtId="0" fontId="5" fillId="8" borderId="49" xfId="0" applyFont="1" applyFill="1" applyBorder="1" applyAlignment="1">
      <alignment horizontal="center" vertical="center"/>
    </xf>
    <xf numFmtId="0" fontId="5" fillId="16" borderId="37" xfId="0" applyFont="1" applyFill="1" applyBorder="1" applyAlignment="1">
      <alignment horizontal="center" vertical="center" wrapText="1"/>
    </xf>
    <xf numFmtId="0" fontId="4" fillId="16" borderId="50" xfId="0" applyFont="1" applyFill="1" applyBorder="1" applyAlignment="1">
      <alignment horizontal="center" vertical="center" wrapText="1"/>
    </xf>
    <xf numFmtId="0" fontId="5" fillId="16" borderId="40" xfId="0" applyFont="1" applyFill="1" applyBorder="1" applyAlignment="1">
      <alignment horizontal="center" vertical="center" wrapText="1"/>
    </xf>
    <xf numFmtId="1" fontId="0" fillId="7" borderId="18" xfId="0" applyNumberFormat="1" applyFill="1" applyBorder="1" applyAlignment="1">
      <alignment horizontal="center"/>
    </xf>
    <xf numFmtId="1" fontId="0" fillId="7" borderId="23" xfId="0" applyNumberFormat="1" applyFill="1" applyBorder="1" applyAlignment="1">
      <alignment horizontal="center"/>
    </xf>
    <xf numFmtId="1" fontId="0" fillId="0" borderId="17" xfId="0" applyNumberFormat="1" applyBorder="1" applyAlignment="1" applyProtection="1">
      <alignment horizontal="center"/>
      <protection locked="0"/>
    </xf>
    <xf numFmtId="1" fontId="0" fillId="0" borderId="29" xfId="0" applyNumberFormat="1" applyBorder="1" applyAlignment="1" applyProtection="1">
      <alignment horizontal="center"/>
      <protection locked="0"/>
    </xf>
    <xf numFmtId="1" fontId="0" fillId="0" borderId="18" xfId="0" applyNumberFormat="1" applyBorder="1" applyAlignment="1" applyProtection="1">
      <alignment horizontal="center"/>
      <protection locked="0"/>
    </xf>
    <xf numFmtId="1" fontId="0" fillId="7" borderId="5" xfId="0" applyNumberFormat="1" applyFill="1" applyBorder="1" applyAlignment="1">
      <alignment horizontal="center"/>
    </xf>
    <xf numFmtId="1" fontId="0" fillId="7" borderId="6" xfId="0" applyNumberFormat="1" applyFill="1" applyBorder="1" applyAlignment="1">
      <alignment horizontal="center"/>
    </xf>
    <xf numFmtId="1" fontId="0" fillId="7" borderId="4" xfId="0" applyNumberFormat="1" applyFill="1" applyBorder="1" applyAlignment="1" applyProtection="1">
      <alignment horizontal="center"/>
      <protection locked="0"/>
    </xf>
    <xf numFmtId="1" fontId="0" fillId="7" borderId="22" xfId="0" applyNumberFormat="1" applyFill="1" applyBorder="1" applyAlignment="1" applyProtection="1">
      <alignment horizontal="center"/>
      <protection locked="0"/>
    </xf>
    <xf numFmtId="1" fontId="0" fillId="0" borderId="4" xfId="0" applyNumberFormat="1" applyBorder="1" applyAlignment="1" applyProtection="1">
      <alignment horizontal="center"/>
      <protection locked="0"/>
    </xf>
    <xf numFmtId="1" fontId="0" fillId="0" borderId="22" xfId="0" applyNumberFormat="1" applyBorder="1" applyAlignment="1" applyProtection="1">
      <alignment horizontal="center"/>
      <protection locked="0"/>
    </xf>
    <xf numFmtId="1" fontId="27" fillId="14" borderId="22" xfId="0" applyNumberFormat="1" applyFont="1" applyFill="1" applyBorder="1" applyAlignment="1" applyProtection="1">
      <alignment horizontal="center"/>
      <protection locked="0"/>
    </xf>
    <xf numFmtId="1" fontId="27" fillId="0" borderId="22" xfId="0" applyNumberFormat="1" applyFont="1" applyBorder="1" applyAlignment="1" applyProtection="1">
      <alignment horizontal="center"/>
      <protection locked="0"/>
    </xf>
    <xf numFmtId="0" fontId="3" fillId="6" borderId="43" xfId="0" applyFont="1" applyFill="1" applyBorder="1"/>
    <xf numFmtId="0" fontId="3" fillId="6" borderId="0" xfId="0" applyFont="1" applyFill="1"/>
    <xf numFmtId="0" fontId="3" fillId="6" borderId="44" xfId="0" applyFont="1" applyFill="1" applyBorder="1"/>
    <xf numFmtId="0" fontId="28" fillId="15" borderId="0" xfId="0" applyFont="1" applyFill="1"/>
    <xf numFmtId="0" fontId="4" fillId="16" borderId="40" xfId="0" applyFont="1" applyFill="1" applyBorder="1" applyAlignment="1">
      <alignment horizontal="center" vertical="center" wrapText="1"/>
    </xf>
    <xf numFmtId="0" fontId="5" fillId="16" borderId="38" xfId="0" applyFont="1" applyFill="1" applyBorder="1" applyAlignment="1">
      <alignment horizontal="center" vertical="center" wrapText="1"/>
    </xf>
    <xf numFmtId="0" fontId="5" fillId="16" borderId="49" xfId="0" applyFont="1" applyFill="1" applyBorder="1" applyAlignment="1">
      <alignment horizontal="center" vertical="center" wrapText="1"/>
    </xf>
    <xf numFmtId="0" fontId="5" fillId="16" borderId="26" xfId="0" applyFont="1" applyFill="1" applyBorder="1" applyAlignment="1">
      <alignment horizontal="center" vertical="center"/>
    </xf>
    <xf numFmtId="9" fontId="0" fillId="5" borderId="18" xfId="0" applyNumberFormat="1" applyFill="1" applyBorder="1" applyAlignment="1">
      <alignment horizontal="center"/>
    </xf>
    <xf numFmtId="1" fontId="0" fillId="0" borderId="23" xfId="0" applyNumberFormat="1" applyBorder="1" applyAlignment="1" applyProtection="1">
      <alignment horizontal="center"/>
      <protection locked="0"/>
    </xf>
    <xf numFmtId="1" fontId="0" fillId="7" borderId="29" xfId="0" applyNumberFormat="1" applyFill="1" applyBorder="1" applyAlignment="1">
      <alignment horizontal="center"/>
    </xf>
    <xf numFmtId="1" fontId="0" fillId="0" borderId="23" xfId="0" applyNumberFormat="1" applyBorder="1" applyProtection="1">
      <protection locked="0"/>
    </xf>
    <xf numFmtId="9" fontId="0" fillId="5" borderId="5" xfId="0" applyNumberFormat="1" applyFill="1" applyBorder="1" applyAlignment="1">
      <alignment horizontal="center"/>
    </xf>
    <xf numFmtId="1" fontId="0" fillId="7" borderId="6" xfId="0" applyNumberFormat="1" applyFill="1" applyBorder="1" applyAlignment="1" applyProtection="1">
      <alignment horizontal="center"/>
      <protection locked="0"/>
    </xf>
    <xf numFmtId="1" fontId="0" fillId="7" borderId="22" xfId="0" applyNumberFormat="1" applyFill="1" applyBorder="1" applyAlignment="1">
      <alignment horizontal="center"/>
    </xf>
    <xf numFmtId="1" fontId="0" fillId="7" borderId="6" xfId="0" applyNumberFormat="1" applyFill="1" applyBorder="1" applyProtection="1">
      <protection locked="0"/>
    </xf>
    <xf numFmtId="1" fontId="0" fillId="0" borderId="6" xfId="0" applyNumberFormat="1" applyBorder="1" applyAlignment="1" applyProtection="1">
      <alignment horizontal="center"/>
      <protection locked="0"/>
    </xf>
    <xf numFmtId="1" fontId="0" fillId="0" borderId="6" xfId="0" applyNumberFormat="1" applyBorder="1" applyProtection="1">
      <protection locked="0"/>
    </xf>
    <xf numFmtId="10" fontId="0" fillId="0" borderId="0" xfId="0" applyNumberFormat="1"/>
    <xf numFmtId="0" fontId="0" fillId="7" borderId="8" xfId="0" applyFill="1" applyBorder="1"/>
    <xf numFmtId="1" fontId="0" fillId="5" borderId="9" xfId="0" applyNumberFormat="1" applyFill="1" applyBorder="1" applyAlignment="1">
      <alignment horizontal="left"/>
    </xf>
    <xf numFmtId="0" fontId="0" fillId="5" borderId="9" xfId="0" applyFill="1" applyBorder="1"/>
    <xf numFmtId="0" fontId="0" fillId="5" borderId="9" xfId="0" applyFill="1" applyBorder="1" applyAlignment="1">
      <alignment horizontal="center"/>
    </xf>
    <xf numFmtId="164" fontId="0" fillId="5" borderId="10" xfId="0" applyNumberFormat="1" applyFill="1" applyBorder="1" applyAlignment="1">
      <alignment horizontal="center"/>
    </xf>
    <xf numFmtId="0" fontId="15" fillId="0" borderId="8" xfId="0" applyFont="1" applyBorder="1" applyAlignment="1" applyProtection="1">
      <alignment horizontal="center" vertical="top" wrapText="1"/>
      <protection locked="0"/>
    </xf>
    <xf numFmtId="0" fontId="0" fillId="7" borderId="9" xfId="0" applyFill="1" applyBorder="1" applyAlignment="1" applyProtection="1">
      <alignment horizontal="center" wrapText="1"/>
      <protection locked="0"/>
    </xf>
    <xf numFmtId="1" fontId="0" fillId="7" borderId="9" xfId="0" applyNumberFormat="1" applyFill="1" applyBorder="1" applyAlignment="1" applyProtection="1">
      <alignment horizontal="center"/>
      <protection locked="0"/>
    </xf>
    <xf numFmtId="1" fontId="0" fillId="7" borderId="9" xfId="0" applyNumberFormat="1" applyFill="1" applyBorder="1" applyAlignment="1">
      <alignment horizontal="center"/>
    </xf>
    <xf numFmtId="1" fontId="0" fillId="7" borderId="10" xfId="0" applyNumberFormat="1" applyFill="1" applyBorder="1" applyAlignment="1">
      <alignment horizontal="center"/>
    </xf>
    <xf numFmtId="1" fontId="0" fillId="7" borderId="8" xfId="0" applyNumberFormat="1" applyFill="1" applyBorder="1" applyAlignment="1" applyProtection="1">
      <alignment horizontal="center"/>
      <protection locked="0"/>
    </xf>
    <xf numFmtId="1" fontId="0" fillId="7" borderId="34" xfId="0" applyNumberFormat="1" applyFill="1" applyBorder="1" applyAlignment="1" applyProtection="1">
      <alignment horizontal="center"/>
      <protection locked="0"/>
    </xf>
    <xf numFmtId="1" fontId="0" fillId="5" borderId="9" xfId="0" applyNumberFormat="1" applyFill="1" applyBorder="1" applyAlignment="1">
      <alignment horizontal="center"/>
    </xf>
    <xf numFmtId="9" fontId="0" fillId="5" borderId="9" xfId="0" applyNumberFormat="1" applyFill="1" applyBorder="1" applyAlignment="1">
      <alignment horizontal="center"/>
    </xf>
    <xf numFmtId="1" fontId="0" fillId="7" borderId="10" xfId="0" applyNumberFormat="1" applyFill="1" applyBorder="1" applyAlignment="1" applyProtection="1">
      <alignment horizontal="center"/>
      <protection locked="0"/>
    </xf>
    <xf numFmtId="1" fontId="0" fillId="7" borderId="34" xfId="0" applyNumberFormat="1" applyFill="1" applyBorder="1" applyAlignment="1">
      <alignment horizontal="center"/>
    </xf>
    <xf numFmtId="1" fontId="0" fillId="7" borderId="10" xfId="0" applyNumberFormat="1" applyFill="1" applyBorder="1" applyProtection="1">
      <protection locked="0"/>
    </xf>
    <xf numFmtId="0" fontId="14" fillId="0" borderId="53" xfId="0" applyFont="1" applyBorder="1" applyAlignment="1" applyProtection="1">
      <alignment vertical="center"/>
      <protection locked="0"/>
    </xf>
    <xf numFmtId="0" fontId="0" fillId="0" borderId="54" xfId="0" applyBorder="1" applyAlignment="1" applyProtection="1">
      <alignment horizontal="left" vertical="center"/>
      <protection locked="0"/>
    </xf>
    <xf numFmtId="0" fontId="16" fillId="8" borderId="55" xfId="0" applyFont="1" applyFill="1" applyBorder="1" applyAlignment="1" applyProtection="1">
      <alignment horizontal="center" wrapText="1"/>
      <protection locked="0"/>
    </xf>
    <xf numFmtId="0" fontId="16" fillId="8" borderId="3" xfId="0" applyFont="1" applyFill="1" applyBorder="1" applyAlignment="1" applyProtection="1">
      <alignment horizontal="center" wrapText="1"/>
      <protection locked="0"/>
    </xf>
    <xf numFmtId="0" fontId="9" fillId="0" borderId="54" xfId="0" applyFont="1" applyBorder="1" applyAlignment="1" applyProtection="1">
      <alignment vertical="center" wrapText="1"/>
      <protection locked="0"/>
    </xf>
    <xf numFmtId="0" fontId="17" fillId="8" borderId="22" xfId="0" applyFont="1" applyFill="1" applyBorder="1" applyAlignment="1" applyProtection="1">
      <alignment horizontal="center" wrapText="1"/>
      <protection locked="0"/>
    </xf>
    <xf numFmtId="0" fontId="17" fillId="8" borderId="6" xfId="0" applyFont="1" applyFill="1" applyBorder="1" applyAlignment="1" applyProtection="1">
      <alignment horizontal="center" wrapText="1"/>
      <protection locked="0"/>
    </xf>
    <xf numFmtId="0" fontId="0" fillId="0" borderId="22" xfId="0" applyBorder="1" applyAlignment="1" applyProtection="1">
      <alignment horizontal="center"/>
      <protection locked="0"/>
    </xf>
    <xf numFmtId="0" fontId="0" fillId="0" borderId="6" xfId="0" applyBorder="1" applyAlignment="1" applyProtection="1">
      <alignment horizontal="center"/>
      <protection locked="0"/>
    </xf>
    <xf numFmtId="0" fontId="9" fillId="5" borderId="54" xfId="0" applyFont="1" applyFill="1" applyBorder="1" applyAlignment="1">
      <alignment vertical="center" wrapText="1"/>
    </xf>
    <xf numFmtId="0" fontId="19" fillId="9" borderId="0" xfId="0" applyFont="1" applyFill="1" applyAlignment="1">
      <alignment horizontal="center" wrapText="1"/>
    </xf>
    <xf numFmtId="0" fontId="12" fillId="9" borderId="44" xfId="0" applyFont="1" applyFill="1" applyBorder="1" applyAlignment="1">
      <alignment horizontal="center" wrapText="1"/>
    </xf>
    <xf numFmtId="0" fontId="6" fillId="0" borderId="57" xfId="0" applyFont="1" applyBorder="1" applyAlignment="1" applyProtection="1">
      <alignment vertical="center"/>
      <protection locked="0"/>
    </xf>
    <xf numFmtId="0" fontId="9" fillId="0" borderId="34" xfId="0" applyFont="1" applyBorder="1" applyAlignment="1" applyProtection="1">
      <alignment horizontal="center" wrapText="1"/>
      <protection locked="0"/>
    </xf>
    <xf numFmtId="0" fontId="20" fillId="0" borderId="10" xfId="0" applyFont="1" applyBorder="1" applyAlignment="1" applyProtection="1">
      <alignment horizontal="center" wrapText="1"/>
      <protection locked="0"/>
    </xf>
    <xf numFmtId="0" fontId="4" fillId="8" borderId="37" xfId="0" applyFont="1" applyFill="1" applyBorder="1" applyAlignment="1">
      <alignment horizontal="center" vertical="center" wrapText="1"/>
    </xf>
    <xf numFmtId="0" fontId="4" fillId="8" borderId="40" xfId="0" applyFont="1" applyFill="1" applyBorder="1" applyAlignment="1">
      <alignment horizontal="center" vertical="center" wrapText="1"/>
    </xf>
    <xf numFmtId="0" fontId="0" fillId="0" borderId="18" xfId="0" applyBorder="1" applyProtection="1">
      <protection locked="0"/>
    </xf>
    <xf numFmtId="0" fontId="0" fillId="0" borderId="18" xfId="0" applyBorder="1" applyAlignment="1" applyProtection="1">
      <alignment horizontal="center"/>
      <protection locked="0"/>
    </xf>
    <xf numFmtId="164" fontId="0" fillId="0" borderId="23" xfId="0" applyNumberFormat="1" applyBorder="1" applyAlignment="1" applyProtection="1">
      <alignment horizontal="center"/>
      <protection locked="0"/>
    </xf>
    <xf numFmtId="0" fontId="0" fillId="7" borderId="5" xfId="0" applyFill="1" applyBorder="1" applyProtection="1">
      <protection locked="0"/>
    </xf>
    <xf numFmtId="0" fontId="0" fillId="0" borderId="5" xfId="0" applyBorder="1" applyProtection="1">
      <protection locked="0"/>
    </xf>
    <xf numFmtId="0" fontId="0" fillId="7" borderId="5" xfId="0" applyFill="1" applyBorder="1" applyAlignment="1" applyProtection="1">
      <alignment horizontal="center"/>
      <protection locked="0"/>
    </xf>
    <xf numFmtId="164" fontId="0" fillId="7" borderId="6" xfId="0" applyNumberFormat="1" applyFill="1" applyBorder="1" applyAlignment="1" applyProtection="1">
      <alignment horizontal="center"/>
      <protection locked="0"/>
    </xf>
    <xf numFmtId="0" fontId="0" fillId="0" borderId="5" xfId="0" applyBorder="1" applyAlignment="1" applyProtection="1">
      <alignment horizontal="center"/>
      <protection locked="0"/>
    </xf>
    <xf numFmtId="164" fontId="0" fillId="0" borderId="6" xfId="0" applyNumberFormat="1" applyBorder="1" applyAlignment="1" applyProtection="1">
      <alignment horizontal="center"/>
      <protection locked="0"/>
    </xf>
    <xf numFmtId="1" fontId="0" fillId="0" borderId="9" xfId="0" applyNumberFormat="1" applyBorder="1" applyAlignment="1" applyProtection="1">
      <alignment horizontal="center"/>
      <protection locked="0"/>
    </xf>
    <xf numFmtId="0" fontId="0" fillId="0" borderId="9" xfId="0" applyBorder="1" applyProtection="1">
      <protection locked="0"/>
    </xf>
    <xf numFmtId="0" fontId="0" fillId="0" borderId="9" xfId="0" applyBorder="1" applyAlignment="1" applyProtection="1">
      <alignment horizontal="center"/>
      <protection locked="0"/>
    </xf>
    <xf numFmtId="164" fontId="0" fillId="0" borderId="10" xfId="0" applyNumberFormat="1" applyBorder="1" applyAlignment="1" applyProtection="1">
      <alignment horizontal="center"/>
      <protection locked="0"/>
    </xf>
    <xf numFmtId="0" fontId="0" fillId="0" borderId="0" xfId="0" quotePrefix="1"/>
    <xf numFmtId="0" fontId="8" fillId="8" borderId="1"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9" fillId="8" borderId="2" xfId="0" applyFont="1" applyFill="1" applyBorder="1" applyAlignment="1">
      <alignment horizontal="left" vertical="center" wrapText="1"/>
    </xf>
    <xf numFmtId="0" fontId="10" fillId="9" borderId="2" xfId="0" applyFont="1" applyFill="1" applyBorder="1" applyAlignment="1">
      <alignment horizontal="right" vertical="center" wrapText="1"/>
    </xf>
    <xf numFmtId="0" fontId="10" fillId="9" borderId="3" xfId="0" applyFont="1" applyFill="1" applyBorder="1" applyAlignment="1">
      <alignment horizontal="right" vertical="center" wrapText="1"/>
    </xf>
    <xf numFmtId="0" fontId="8" fillId="8" borderId="4"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9" fillId="8" borderId="5" xfId="0" applyFont="1" applyFill="1" applyBorder="1" applyAlignment="1">
      <alignment horizontal="left" vertical="center" wrapText="1"/>
    </xf>
    <xf numFmtId="0" fontId="8" fillId="10" borderId="5"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11" fillId="11" borderId="16" xfId="0" applyFont="1" applyFill="1" applyBorder="1" applyAlignment="1">
      <alignment horizontal="center" vertical="center" wrapText="1"/>
    </xf>
    <xf numFmtId="0" fontId="11" fillId="11" borderId="21" xfId="0" applyFont="1" applyFill="1" applyBorder="1" applyAlignment="1">
      <alignment horizontal="center" vertical="center" wrapText="1"/>
    </xf>
    <xf numFmtId="0" fontId="11" fillId="11" borderId="22" xfId="0" applyFont="1" applyFill="1" applyBorder="1" applyAlignment="1">
      <alignment horizontal="center" vertical="center" wrapText="1"/>
    </xf>
    <xf numFmtId="0" fontId="11" fillId="10" borderId="5" xfId="0" applyFont="1" applyFill="1" applyBorder="1" applyAlignment="1">
      <alignment horizontal="center" vertical="center"/>
    </xf>
    <xf numFmtId="0" fontId="11" fillId="8"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13" fillId="12" borderId="24" xfId="0" applyFont="1" applyFill="1" applyBorder="1" applyAlignment="1">
      <alignment horizontal="center" vertical="center"/>
    </xf>
    <xf numFmtId="0" fontId="13" fillId="12" borderId="25" xfId="0" applyFont="1" applyFill="1" applyBorder="1" applyAlignment="1">
      <alignment horizontal="center" vertical="center"/>
    </xf>
    <xf numFmtId="0" fontId="8" fillId="8" borderId="4" xfId="0" applyFont="1" applyFill="1" applyBorder="1" applyAlignment="1">
      <alignment horizontal="right"/>
    </xf>
    <xf numFmtId="0" fontId="8" fillId="8" borderId="16" xfId="0" applyFont="1" applyFill="1" applyBorder="1" applyAlignment="1">
      <alignment horizontal="right"/>
    </xf>
    <xf numFmtId="0" fontId="11" fillId="8" borderId="2" xfId="0" applyFont="1" applyFill="1" applyBorder="1" applyAlignment="1">
      <alignment horizontal="center" vertical="center"/>
    </xf>
    <xf numFmtId="0" fontId="8" fillId="8" borderId="28" xfId="0" applyFont="1" applyFill="1" applyBorder="1" applyAlignment="1">
      <alignment horizontal="right" wrapText="1"/>
    </xf>
    <xf numFmtId="0" fontId="8" fillId="8" borderId="32" xfId="0" applyFont="1" applyFill="1" applyBorder="1" applyAlignment="1">
      <alignment horizontal="right" wrapText="1"/>
    </xf>
    <xf numFmtId="0" fontId="8" fillId="8" borderId="4" xfId="0" applyFont="1" applyFill="1" applyBorder="1" applyAlignment="1">
      <alignment horizontal="right" wrapText="1"/>
    </xf>
    <xf numFmtId="0" fontId="8" fillId="8" borderId="16" xfId="0" applyFont="1" applyFill="1" applyBorder="1" applyAlignment="1">
      <alignment horizontal="right" wrapText="1"/>
    </xf>
    <xf numFmtId="0" fontId="17" fillId="9" borderId="21" xfId="0" applyFont="1" applyFill="1" applyBorder="1" applyAlignment="1">
      <alignment horizontal="center" vertical="center" wrapText="1"/>
    </xf>
    <xf numFmtId="0" fontId="17" fillId="9" borderId="56" xfId="0" applyFont="1" applyFill="1" applyBorder="1" applyAlignment="1">
      <alignment horizontal="center" vertical="center" wrapText="1"/>
    </xf>
    <xf numFmtId="0" fontId="25" fillId="8" borderId="5" xfId="0" applyFont="1" applyFill="1" applyBorder="1" applyAlignment="1">
      <alignment horizontal="center" vertical="center" wrapText="1"/>
    </xf>
    <xf numFmtId="0" fontId="2" fillId="8" borderId="30" xfId="0" applyFont="1" applyFill="1" applyBorder="1" applyAlignment="1">
      <alignment horizontal="right"/>
    </xf>
    <xf numFmtId="0" fontId="2" fillId="8" borderId="31" xfId="0" applyFont="1" applyFill="1" applyBorder="1" applyAlignment="1">
      <alignment horizontal="right"/>
    </xf>
    <xf numFmtId="0" fontId="5" fillId="16" borderId="40" xfId="0" applyFont="1" applyFill="1" applyBorder="1" applyAlignment="1">
      <alignment horizontal="center" vertical="center" wrapText="1"/>
    </xf>
    <xf numFmtId="0" fontId="18" fillId="0" borderId="4"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15" xfId="0" applyFont="1" applyBorder="1" applyAlignment="1">
      <alignment horizontal="center" vertical="center" wrapText="1"/>
    </xf>
    <xf numFmtId="0" fontId="24" fillId="15" borderId="43" xfId="0" applyFont="1" applyFill="1" applyBorder="1" applyAlignment="1">
      <alignment horizontal="center" vertical="center" wrapText="1"/>
    </xf>
    <xf numFmtId="0" fontId="24" fillId="15" borderId="44" xfId="0" applyFont="1" applyFill="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36" xfId="0" applyFont="1" applyBorder="1" applyAlignment="1">
      <alignment horizontal="center" vertical="center" wrapText="1"/>
    </xf>
    <xf numFmtId="0" fontId="2" fillId="0" borderId="0" xfId="0" applyFont="1" applyAlignment="1">
      <alignment horizontal="center"/>
    </xf>
    <xf numFmtId="0" fontId="2" fillId="0" borderId="44" xfId="0" applyFont="1" applyBorder="1" applyAlignment="1">
      <alignment horizontal="center"/>
    </xf>
    <xf numFmtId="0" fontId="5" fillId="8" borderId="30" xfId="0" applyFont="1" applyFill="1" applyBorder="1" applyAlignment="1">
      <alignment horizontal="center" vertical="center" wrapText="1"/>
    </xf>
    <xf numFmtId="0" fontId="5" fillId="8" borderId="31" xfId="0" applyFont="1" applyFill="1" applyBorder="1" applyAlignment="1">
      <alignment horizontal="center" vertical="center"/>
    </xf>
    <xf numFmtId="0" fontId="5" fillId="8" borderId="28" xfId="0" applyFont="1" applyFill="1" applyBorder="1" applyAlignment="1">
      <alignment horizontal="center" vertical="center"/>
    </xf>
    <xf numFmtId="0" fontId="5" fillId="8" borderId="32" xfId="0" applyFont="1" applyFill="1" applyBorder="1" applyAlignment="1">
      <alignment horizontal="center" vertical="center"/>
    </xf>
    <xf numFmtId="0" fontId="2" fillId="8" borderId="20" xfId="0" applyFont="1" applyFill="1" applyBorder="1" applyAlignment="1">
      <alignment horizontal="center" vertical="center" wrapText="1"/>
    </xf>
    <xf numFmtId="0" fontId="2" fillId="8" borderId="0" xfId="0" applyFont="1" applyFill="1" applyAlignment="1">
      <alignment horizontal="center" vertical="center" wrapText="1"/>
    </xf>
    <xf numFmtId="0" fontId="2" fillId="8" borderId="28"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2" fillId="0" borderId="45" xfId="0" applyFont="1" applyBorder="1" applyAlignment="1">
      <alignment horizontal="center"/>
    </xf>
    <xf numFmtId="0" fontId="2" fillId="0" borderId="31" xfId="0" applyFont="1" applyBorder="1" applyAlignment="1">
      <alignment horizontal="center"/>
    </xf>
    <xf numFmtId="0" fontId="2" fillId="0" borderId="51" xfId="0" applyFont="1" applyBorder="1" applyAlignment="1">
      <alignment horizontal="center"/>
    </xf>
    <xf numFmtId="0" fontId="2" fillId="0" borderId="52" xfId="0" applyFont="1" applyBorder="1" applyAlignment="1">
      <alignment horizontal="center"/>
    </xf>
    <xf numFmtId="0" fontId="18" fillId="0" borderId="45" xfId="0" applyFont="1" applyBorder="1" applyAlignment="1">
      <alignment horizontal="center" vertical="center" wrapText="1"/>
    </xf>
    <xf numFmtId="0" fontId="18" fillId="0" borderId="46" xfId="0" applyFont="1" applyBorder="1" applyAlignment="1">
      <alignment horizontal="center" vertical="center" wrapText="1"/>
    </xf>
    <xf numFmtId="0" fontId="18" fillId="0" borderId="47" xfId="0" applyFont="1" applyBorder="1" applyAlignment="1">
      <alignment horizontal="center" vertical="center" wrapText="1"/>
    </xf>
    <xf numFmtId="0" fontId="18" fillId="0" borderId="48" xfId="0" applyFont="1" applyBorder="1" applyAlignment="1">
      <alignment horizontal="center" vertical="center" wrapText="1"/>
    </xf>
    <xf numFmtId="0" fontId="16" fillId="9" borderId="25" xfId="0" applyFont="1" applyFill="1" applyBorder="1" applyAlignment="1">
      <alignment horizontal="center" wrapText="1"/>
    </xf>
    <xf numFmtId="0" fontId="16" fillId="9" borderId="27" xfId="0" applyFont="1" applyFill="1" applyBorder="1" applyAlignment="1">
      <alignment horizontal="center" wrapText="1"/>
    </xf>
    <xf numFmtId="0" fontId="8" fillId="8" borderId="29" xfId="0" applyFont="1" applyFill="1" applyBorder="1" applyAlignment="1">
      <alignment horizontal="right" wrapText="1"/>
    </xf>
    <xf numFmtId="0" fontId="18" fillId="0" borderId="14" xfId="0" applyFont="1" applyBorder="1" applyAlignment="1">
      <alignment horizontal="center" vertical="center" wrapText="1"/>
    </xf>
    <xf numFmtId="0" fontId="2" fillId="8" borderId="30" xfId="0" applyFont="1" applyFill="1" applyBorder="1" applyAlignment="1">
      <alignment horizontal="center" vertical="center" wrapText="1"/>
    </xf>
    <xf numFmtId="0" fontId="2" fillId="8" borderId="31" xfId="0" applyFont="1" applyFill="1" applyBorder="1" applyAlignment="1">
      <alignment horizontal="center" vertical="center"/>
    </xf>
    <xf numFmtId="0" fontId="2" fillId="8" borderId="28" xfId="0" applyFont="1" applyFill="1" applyBorder="1" applyAlignment="1">
      <alignment horizontal="center" vertical="center"/>
    </xf>
    <xf numFmtId="0" fontId="2" fillId="8" borderId="32" xfId="0" applyFont="1" applyFill="1" applyBorder="1" applyAlignment="1">
      <alignment horizontal="center" vertical="center"/>
    </xf>
    <xf numFmtId="0" fontId="17" fillId="9" borderId="22" xfId="0" applyFont="1" applyFill="1" applyBorder="1" applyAlignment="1">
      <alignment horizontal="center" vertical="center" wrapText="1"/>
    </xf>
    <xf numFmtId="0" fontId="17" fillId="9" borderId="6" xfId="0" applyFont="1" applyFill="1" applyBorder="1" applyAlignment="1">
      <alignment horizontal="center" vertical="center" wrapText="1"/>
    </xf>
    <xf numFmtId="0" fontId="3" fillId="6" borderId="0" xfId="0" applyFont="1" applyFill="1" applyAlignment="1">
      <alignment horizontal="left"/>
    </xf>
    <xf numFmtId="0" fontId="2" fillId="0" borderId="0" xfId="0" applyFont="1" applyAlignment="1">
      <alignment horizontal="right" indent="3"/>
    </xf>
    <xf numFmtId="0" fontId="2" fillId="0" borderId="11" xfId="0" applyFont="1" applyBorder="1" applyAlignment="1">
      <alignment horizontal="right" indent="3"/>
    </xf>
    <xf numFmtId="0" fontId="0" fillId="0" borderId="11" xfId="0" applyBorder="1" applyAlignment="1">
      <alignment horizontal="left"/>
    </xf>
    <xf numFmtId="0" fontId="5" fillId="5" borderId="2" xfId="0" applyFont="1" applyFill="1" applyBorder="1" applyAlignment="1" applyProtection="1">
      <alignment horizontal="center" wrapText="1"/>
      <protection hidden="1"/>
    </xf>
    <xf numFmtId="0" fontId="5" fillId="3" borderId="2" xfId="0" applyFont="1" applyFill="1" applyBorder="1" applyAlignment="1" applyProtection="1">
      <alignment horizontal="center" wrapText="1"/>
      <protection hidden="1"/>
    </xf>
    <xf numFmtId="0" fontId="2" fillId="5" borderId="12" xfId="0" applyFont="1" applyFill="1" applyBorder="1" applyAlignment="1">
      <alignment horizontal="center"/>
    </xf>
    <xf numFmtId="0" fontId="2" fillId="5" borderId="13" xfId="0" applyFont="1" applyFill="1" applyBorder="1" applyAlignment="1">
      <alignment horizontal="center"/>
    </xf>
    <xf numFmtId="0" fontId="2" fillId="5" borderId="2" xfId="0" applyFont="1" applyFill="1" applyBorder="1" applyAlignment="1">
      <alignment horizontal="center"/>
    </xf>
    <xf numFmtId="0" fontId="2" fillId="5" borderId="19" xfId="0" applyFont="1" applyFill="1" applyBorder="1" applyAlignment="1">
      <alignment horizontal="center"/>
    </xf>
    <xf numFmtId="0" fontId="5" fillId="5" borderId="5" xfId="0" applyFont="1" applyFill="1" applyBorder="1" applyAlignment="1" applyProtection="1">
      <alignment horizontal="center" wrapText="1"/>
      <protection hidden="1"/>
    </xf>
    <xf numFmtId="0" fontId="5" fillId="5" borderId="16" xfId="0" applyFont="1" applyFill="1" applyBorder="1" applyAlignment="1" applyProtection="1">
      <alignment horizontal="center" wrapText="1"/>
      <protection hidden="1"/>
    </xf>
    <xf numFmtId="0" fontId="5" fillId="5" borderId="21" xfId="0" applyFont="1" applyFill="1" applyBorder="1" applyAlignment="1" applyProtection="1">
      <alignment horizontal="center" wrapText="1"/>
      <protection hidden="1"/>
    </xf>
    <xf numFmtId="0" fontId="5" fillId="5" borderId="22" xfId="0" applyFont="1" applyFill="1" applyBorder="1" applyAlignment="1" applyProtection="1">
      <alignment horizontal="center" wrapText="1"/>
      <protection hidden="1"/>
    </xf>
    <xf numFmtId="0" fontId="5" fillId="5" borderId="6" xfId="0" applyFont="1" applyFill="1" applyBorder="1" applyAlignment="1" applyProtection="1">
      <alignment horizontal="center" wrapText="1"/>
      <protection hidden="1"/>
    </xf>
    <xf numFmtId="0" fontId="2" fillId="5" borderId="1" xfId="0" applyFont="1" applyFill="1" applyBorder="1" applyAlignment="1" applyProtection="1">
      <alignment horizontal="center"/>
      <protection hidden="1"/>
    </xf>
    <xf numFmtId="0" fontId="2" fillId="5" borderId="4" xfId="0" applyFont="1" applyFill="1" applyBorder="1" applyAlignment="1" applyProtection="1">
      <alignment horizontal="center"/>
      <protection hidden="1"/>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2" xfId="0" applyFont="1" applyFill="1" applyBorder="1" applyAlignment="1" applyProtection="1">
      <alignment horizontal="center" wrapText="1"/>
      <protection hidden="1"/>
    </xf>
    <xf numFmtId="0" fontId="4" fillId="5" borderId="5" xfId="0" applyFont="1" applyFill="1" applyBorder="1" applyAlignment="1" applyProtection="1">
      <alignment horizontal="center" wrapText="1"/>
      <protection hidden="1"/>
    </xf>
    <xf numFmtId="0" fontId="4" fillId="5" borderId="2" xfId="0" applyFont="1" applyFill="1" applyBorder="1" applyAlignment="1" applyProtection="1">
      <alignment horizontal="center" vertical="center" wrapText="1"/>
      <protection hidden="1"/>
    </xf>
    <xf numFmtId="0" fontId="4" fillId="5" borderId="5" xfId="0" applyFont="1" applyFill="1" applyBorder="1" applyAlignment="1" applyProtection="1">
      <alignment horizontal="center" vertical="center" wrapText="1"/>
      <protection hidden="1"/>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cellXfs>
  <cellStyles count="2">
    <cellStyle name="Normal" xfId="0" builtinId="0"/>
    <cellStyle name="Percent" xfId="1" builtinId="5"/>
  </cellStyles>
  <dxfs count="3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rgb="FF262626"/>
        </patternFill>
      </fill>
    </dxf>
    <dxf>
      <fill>
        <patternFill patternType="solid">
          <bgColor theme="1" tint="0.149937437055574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937437055574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Summary'!$D$18</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Summary'!$D$19:$D$24</c:f>
              <c:numCache>
                <c:formatCode>0%</c:formatCode>
                <c:ptCount val="6"/>
                <c:pt idx="0">
                  <c:v>0.2</c:v>
                </c:pt>
                <c:pt idx="1">
                  <c:v>0.125</c:v>
                </c:pt>
                <c:pt idx="2">
                  <c:v>0.15384615384615385</c:v>
                </c:pt>
                <c:pt idx="3">
                  <c:v>0.2</c:v>
                </c:pt>
                <c:pt idx="4">
                  <c:v>0.125</c:v>
                </c:pt>
                <c:pt idx="5">
                  <c:v>0.15384615384615385</c:v>
                </c:pt>
              </c:numCache>
            </c:numRef>
          </c:val>
          <c:extLst>
            <c:ext xmlns:c16="http://schemas.microsoft.com/office/drawing/2014/chart" uri="{C3380CC4-5D6E-409C-BE32-E72D297353CC}">
              <c16:uniqueId val="{00000000-9FDC-4BFA-8516-6BE47A630580}"/>
            </c:ext>
          </c:extLst>
        </c:ser>
        <c:ser>
          <c:idx val="1"/>
          <c:order val="1"/>
          <c:tx>
            <c:strRef>
              <c:f>'Class Summary'!$E$18</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Summary'!$E$19:$E$24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9FDC-4BFA-8516-6BE47A630580}"/>
            </c:ext>
          </c:extLst>
        </c:ser>
        <c:ser>
          <c:idx val="2"/>
          <c:order val="2"/>
          <c:tx>
            <c:strRef>
              <c:f>'Class Summary'!$F$18</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Summary'!$F$19:$F$24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9FDC-4BFA-8516-6BE47A630580}"/>
            </c:ext>
          </c:extLst>
        </c:ser>
        <c:ser>
          <c:idx val="3"/>
          <c:order val="3"/>
          <c:tx>
            <c:strRef>
              <c:f>'Class Summary'!$G$18</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Summary'!$G$19:$G$24</c:f>
              <c:numCache>
                <c:formatCode>0%</c:formatCode>
                <c:ptCount val="6"/>
                <c:pt idx="0">
                  <c:v>0.8</c:v>
                </c:pt>
                <c:pt idx="1">
                  <c:v>0.875</c:v>
                </c:pt>
                <c:pt idx="2">
                  <c:v>0.84615384615384615</c:v>
                </c:pt>
                <c:pt idx="3">
                  <c:v>0.8</c:v>
                </c:pt>
                <c:pt idx="4">
                  <c:v>0.875</c:v>
                </c:pt>
                <c:pt idx="5">
                  <c:v>0.84615384615384615</c:v>
                </c:pt>
              </c:numCache>
            </c:numRef>
          </c:val>
          <c:extLst>
            <c:ext xmlns:c16="http://schemas.microsoft.com/office/drawing/2014/chart" uri="{C3380CC4-5D6E-409C-BE32-E72D297353CC}">
              <c16:uniqueId val="{00000003-9FDC-4BFA-8516-6BE47A630580}"/>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875773739122"/>
          <c:y val="0.27247273154613699"/>
          <c:w val="0.58518877316998696"/>
          <c:h val="0.52127123878447301"/>
        </c:manualLayout>
      </c:layout>
      <c:pieChart>
        <c:varyColors val="1"/>
        <c:ser>
          <c:idx val="0"/>
          <c:order val="0"/>
          <c:tx>
            <c:strRef>
              <c:f>'Class Summary'!$G$6</c:f>
              <c:strCache>
                <c:ptCount val="1"/>
                <c:pt idx="0">
                  <c:v>Number of Learners Assessed</c:v>
                </c:pt>
              </c:strCache>
            </c:strRef>
          </c:tx>
          <c:spPr>
            <a:solidFill>
              <a:srgbClr val="FF0000"/>
            </a:solidFill>
          </c:spPr>
          <c:explosion val="7"/>
          <c:dPt>
            <c:idx val="0"/>
            <c:bubble3D val="0"/>
            <c:spPr>
              <a:solidFill>
                <a:srgbClr val="0070C0"/>
              </a:solidFill>
              <a:ln w="19050">
                <a:solidFill>
                  <a:schemeClr val="lt1"/>
                </a:solidFill>
              </a:ln>
              <a:effectLst/>
            </c:spPr>
            <c:extLst>
              <c:ext xmlns:c16="http://schemas.microsoft.com/office/drawing/2014/chart" uri="{C3380CC4-5D6E-409C-BE32-E72D297353CC}">
                <c16:uniqueId val="{00000001-EE6A-4CCD-AE0C-979646AE3E96}"/>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EE6A-4CCD-AE0C-979646AE3E96}"/>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5</c:v>
                </c:pt>
                <c:pt idx="1">
                  <c:v>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EE6A-4CCD-AE0C-979646AE3E96}"/>
            </c:ext>
          </c:extLst>
        </c:ser>
        <c:dLbls>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0494602426568601"/>
          <c:y val="0.80684492168603905"/>
          <c:w val="0.46427377056976299"/>
          <c:h val="8.3716749704153298E-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Grade 2 Learners Assessed In</a:t>
            </a:r>
            <a:r>
              <a:rPr lang="en-US" baseline="0"/>
              <a:t> Mother Tongue and Filipino</a:t>
            </a:r>
          </a:p>
          <a:p>
            <a:pPr>
              <a:defRPr/>
            </a:pPr>
            <a:r>
              <a:rPr lang="en-US" baseline="0"/>
              <a:t>By Reading Profile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Summary'!$K$18</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Summary'!$K$19:$K$24</c:f>
              <c:numCache>
                <c:formatCode>0%</c:formatCode>
                <c:ptCount val="6"/>
                <c:pt idx="0">
                  <c:v>0.2</c:v>
                </c:pt>
                <c:pt idx="1">
                  <c:v>0.125</c:v>
                </c:pt>
                <c:pt idx="2">
                  <c:v>0.15384615384615385</c:v>
                </c:pt>
                <c:pt idx="3">
                  <c:v>0.2</c:v>
                </c:pt>
                <c:pt idx="4">
                  <c:v>0.125</c:v>
                </c:pt>
                <c:pt idx="5">
                  <c:v>0.15384615384615385</c:v>
                </c:pt>
              </c:numCache>
            </c:numRef>
          </c:val>
          <c:extLst>
            <c:ext xmlns:c16="http://schemas.microsoft.com/office/drawing/2014/chart" uri="{C3380CC4-5D6E-409C-BE32-E72D297353CC}">
              <c16:uniqueId val="{00000000-CADB-4BF9-AF69-60261DF8D93A}"/>
            </c:ext>
          </c:extLst>
        </c:ser>
        <c:ser>
          <c:idx val="1"/>
          <c:order val="1"/>
          <c:tx>
            <c:strRef>
              <c:f>'Class Summary'!$L$18</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Summary'!$L$19:$L$24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ADB-4BF9-AF69-60261DF8D93A}"/>
            </c:ext>
          </c:extLst>
        </c:ser>
        <c:ser>
          <c:idx val="2"/>
          <c:order val="2"/>
          <c:tx>
            <c:strRef>
              <c:f>'Class Summary'!$M$18</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Summary'!$M$19:$M$24</c:f>
              <c:numCache>
                <c:formatCode>0%</c:formatCode>
                <c:ptCount val="6"/>
                <c:pt idx="0">
                  <c:v>0</c:v>
                </c:pt>
                <c:pt idx="1">
                  <c:v>0</c:v>
                </c:pt>
                <c:pt idx="2">
                  <c:v>0</c:v>
                </c:pt>
                <c:pt idx="3">
                  <c:v>0</c:v>
                </c:pt>
                <c:pt idx="4">
                  <c:v>0.25</c:v>
                </c:pt>
                <c:pt idx="5">
                  <c:v>0.15384615384615385</c:v>
                </c:pt>
              </c:numCache>
            </c:numRef>
          </c:val>
          <c:extLst>
            <c:ext xmlns:c16="http://schemas.microsoft.com/office/drawing/2014/chart" uri="{C3380CC4-5D6E-409C-BE32-E72D297353CC}">
              <c16:uniqueId val="{00000002-CADB-4BF9-AF69-60261DF8D93A}"/>
            </c:ext>
          </c:extLst>
        </c:ser>
        <c:ser>
          <c:idx val="3"/>
          <c:order val="3"/>
          <c:tx>
            <c:strRef>
              <c:f>'Class Summary'!$N$18</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Summary'!$N$19:$N$24</c:f>
              <c:numCache>
                <c:formatCode>0%</c:formatCode>
                <c:ptCount val="6"/>
                <c:pt idx="0">
                  <c:v>0.6</c:v>
                </c:pt>
                <c:pt idx="1">
                  <c:v>0.25</c:v>
                </c:pt>
                <c:pt idx="2">
                  <c:v>0.38461538461538464</c:v>
                </c:pt>
                <c:pt idx="3">
                  <c:v>0.6</c:v>
                </c:pt>
                <c:pt idx="4">
                  <c:v>0.375</c:v>
                </c:pt>
                <c:pt idx="5">
                  <c:v>0.46153846153846156</c:v>
                </c:pt>
              </c:numCache>
            </c:numRef>
          </c:val>
          <c:extLst>
            <c:ext xmlns:c16="http://schemas.microsoft.com/office/drawing/2014/chart" uri="{C3380CC4-5D6E-409C-BE32-E72D297353CC}">
              <c16:uniqueId val="{00000003-CADB-4BF9-AF69-60261DF8D93A}"/>
            </c:ext>
          </c:extLst>
        </c:ser>
        <c:ser>
          <c:idx val="4"/>
          <c:order val="4"/>
          <c:tx>
            <c:strRef>
              <c:f>'Class Summary'!$O$18</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Summary'!$O$19:$O$24</c:f>
              <c:numCache>
                <c:formatCode>0%</c:formatCode>
                <c:ptCount val="6"/>
                <c:pt idx="0">
                  <c:v>0.2</c:v>
                </c:pt>
                <c:pt idx="1">
                  <c:v>0.625</c:v>
                </c:pt>
                <c:pt idx="2">
                  <c:v>0.46153846153846156</c:v>
                </c:pt>
                <c:pt idx="3">
                  <c:v>0.2</c:v>
                </c:pt>
                <c:pt idx="4">
                  <c:v>0.25</c:v>
                </c:pt>
                <c:pt idx="5">
                  <c:v>0.23076923076923078</c:v>
                </c:pt>
              </c:numCache>
            </c:numRef>
          </c:val>
          <c:extLst>
            <c:ext xmlns:c16="http://schemas.microsoft.com/office/drawing/2014/chart" uri="{C3380CC4-5D6E-409C-BE32-E72D297353CC}">
              <c16:uniqueId val="{00000004-CADB-4BF9-AF69-60261DF8D93A}"/>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aseline="0"/>
              <a:t>Reading Fluency and Comprehension Average Percentage</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Summary'!$H$18</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Summary'!$H$19:$H$24</c:f>
              <c:numCache>
                <c:formatCode>0%</c:formatCode>
                <c:ptCount val="6"/>
                <c:pt idx="0">
                  <c:v>0.87477836879432624</c:v>
                </c:pt>
                <c:pt idx="1">
                  <c:v>0.87572821681864244</c:v>
                </c:pt>
                <c:pt idx="2">
                  <c:v>0.87525329280648434</c:v>
                </c:pt>
                <c:pt idx="3">
                  <c:v>0.82121710526315783</c:v>
                </c:pt>
                <c:pt idx="4">
                  <c:v>0.86541353383458652</c:v>
                </c:pt>
                <c:pt idx="5">
                  <c:v>0.84331531954887218</c:v>
                </c:pt>
              </c:numCache>
            </c:numRef>
          </c:val>
          <c:extLst>
            <c:ext xmlns:c16="http://schemas.microsoft.com/office/drawing/2014/chart" uri="{C3380CC4-5D6E-409C-BE32-E72D297353CC}">
              <c16:uniqueId val="{00000000-2FDF-4A45-A758-52CC23AB013C}"/>
            </c:ext>
          </c:extLst>
        </c:ser>
        <c:ser>
          <c:idx val="1"/>
          <c:order val="1"/>
          <c:tx>
            <c:strRef>
              <c:f>'Class Summary'!$I$18</c:f>
              <c:strCache>
                <c:ptCount val="1"/>
                <c:pt idx="0">
                  <c:v>Reading Comprehension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Summary'!$I$19:$I$24</c:f>
              <c:numCache>
                <c:formatCode>0%</c:formatCode>
                <c:ptCount val="6"/>
                <c:pt idx="0">
                  <c:v>0.70833333333333337</c:v>
                </c:pt>
                <c:pt idx="1">
                  <c:v>0.78571428571428581</c:v>
                </c:pt>
                <c:pt idx="2">
                  <c:v>0.74702380952380953</c:v>
                </c:pt>
                <c:pt idx="3">
                  <c:v>0.625</c:v>
                </c:pt>
                <c:pt idx="4">
                  <c:v>0.59523809523809523</c:v>
                </c:pt>
                <c:pt idx="5">
                  <c:v>0.61011904761904767</c:v>
                </c:pt>
              </c:numCache>
            </c:numRef>
          </c:val>
          <c:extLst>
            <c:ext xmlns:c16="http://schemas.microsoft.com/office/drawing/2014/chart" uri="{C3380CC4-5D6E-409C-BE32-E72D297353CC}">
              <c16:uniqueId val="{00000001-2FDF-4A45-A758-52CC23AB013C}"/>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aseline="0"/>
              <a:t>Reading Fluency and Comprehension Average Words Per Minute</a:t>
            </a:r>
            <a:endParaRPr lang="en-US"/>
          </a:p>
        </c:rich>
      </c:tx>
      <c:layout>
        <c:manualLayout>
          <c:xMode val="edge"/>
          <c:yMode val="edge"/>
          <c:x val="0.14729887035536399"/>
          <c:y val="2.8561228132809698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Summary'!$J$18</c:f>
              <c:strCache>
                <c:ptCount val="1"/>
                <c:pt idx="0">
                  <c:v>Words Per Minute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B10B-4950-BAE5-9254365D0383}"/>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3-B10B-4950-BAE5-9254365D0383}"/>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B10B-4950-BAE5-9254365D0383}"/>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B10B-4950-BAE5-9254365D0383}"/>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Summary'!$J$19:$J$24</c:f>
              <c:numCache>
                <c:formatCode>0.00</c:formatCode>
                <c:ptCount val="6"/>
                <c:pt idx="0">
                  <c:v>41.75</c:v>
                </c:pt>
                <c:pt idx="1">
                  <c:v>41.785714285714285</c:v>
                </c:pt>
                <c:pt idx="2">
                  <c:v>41.767857142857139</c:v>
                </c:pt>
                <c:pt idx="3">
                  <c:v>39.125</c:v>
                </c:pt>
                <c:pt idx="4">
                  <c:v>41.285714285714285</c:v>
                </c:pt>
                <c:pt idx="5">
                  <c:v>40.205357142857139</c:v>
                </c:pt>
              </c:numCache>
            </c:numRef>
          </c:val>
          <c:extLst>
            <c:ext xmlns:c16="http://schemas.microsoft.com/office/drawing/2014/chart" uri="{C3380CC4-5D6E-409C-BE32-E72D297353CC}">
              <c16:uniqueId val="{00000008-B10B-4950-BAE5-9254365D0383}"/>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7223760" y="2219896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91440</xdr:rowOff>
    </xdr:from>
    <xdr:to>
      <xdr:col>9</xdr:col>
      <xdr:colOff>1133474</xdr:colOff>
      <xdr:row>113</xdr:row>
      <xdr:rowOff>38100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5565" y="21345525"/>
          <a:ext cx="95300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848360</xdr:colOff>
      <xdr:row>110</xdr:row>
      <xdr:rowOff>57150</xdr:rowOff>
    </xdr:from>
    <xdr:to>
      <xdr:col>21</xdr:col>
      <xdr:colOff>1501140</xdr:colOff>
      <xdr:row>113</xdr:row>
      <xdr:rowOff>133349</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7054195" y="21311235"/>
          <a:ext cx="2252980" cy="624205"/>
        </a:xfrm>
        <a:prstGeom prst="rect">
          <a:avLst/>
        </a:prstGeom>
        <a:noFill/>
        <a:ln>
          <a:noFill/>
        </a:ln>
      </xdr:spPr>
    </xdr:pic>
    <xdr:clientData/>
  </xdr:twoCellAnchor>
  <xdr:twoCellAnchor>
    <xdr:from>
      <xdr:col>18</xdr:col>
      <xdr:colOff>0</xdr:colOff>
      <xdr:row>3</xdr:row>
      <xdr:rowOff>53340</xdr:rowOff>
    </xdr:from>
    <xdr:to>
      <xdr:col>21</xdr:col>
      <xdr:colOff>1950720</xdr:colOff>
      <xdr:row>4</xdr:row>
      <xdr:rowOff>152400</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4658975" y="906780"/>
          <a:ext cx="509778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2  Mother Tongue Reading Assessment Scoresheet</a:t>
          </a:r>
        </a:p>
      </xdr:txBody>
    </xdr:sp>
    <xdr:clientData/>
  </xdr:twoCellAnchor>
  <xdr:twoCellAnchor>
    <xdr:from>
      <xdr:col>20</xdr:col>
      <xdr:colOff>533400</xdr:colOff>
      <xdr:row>0</xdr:row>
      <xdr:rowOff>95250</xdr:rowOff>
    </xdr:from>
    <xdr:to>
      <xdr:col>21</xdr:col>
      <xdr:colOff>2292484</xdr:colOff>
      <xdr:row>2</xdr:row>
      <xdr:rowOff>228048</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7687925" y="95250"/>
          <a:ext cx="3540259" cy="637623"/>
          <a:chOff x="16253460" y="45720"/>
          <a:chExt cx="3198311" cy="645560"/>
        </a:xfrm>
      </xdr:grpSpPr>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xdr:from>
      <xdr:col>3</xdr:col>
      <xdr:colOff>148591</xdr:colOff>
      <xdr:row>0</xdr:row>
      <xdr:rowOff>92232</xdr:rowOff>
    </xdr:from>
    <xdr:to>
      <xdr:col>12</xdr:col>
      <xdr:colOff>617220</xdr:colOff>
      <xdr:row>2</xdr:row>
      <xdr:rowOff>325755</xdr:rowOff>
    </xdr:to>
    <xdr:grpSp>
      <xdr:nvGrpSpPr>
        <xdr:cNvPr id="12" name="Group 11">
          <a:extLst>
            <a:ext uri="{FF2B5EF4-FFF2-40B4-BE49-F238E27FC236}">
              <a16:creationId xmlns:a16="http://schemas.microsoft.com/office/drawing/2014/main" id="{00000000-0008-0000-0000-00000C000000}"/>
            </a:ext>
          </a:extLst>
        </xdr:cNvPr>
        <xdr:cNvGrpSpPr/>
      </xdr:nvGrpSpPr>
      <xdr:grpSpPr>
        <a:xfrm>
          <a:off x="4034791" y="92232"/>
          <a:ext cx="8079104" cy="738348"/>
          <a:chOff x="3408046" y="50322"/>
          <a:chExt cx="7315199" cy="755493"/>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4274756" y="117677"/>
            <a:ext cx="6448489" cy="6881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8046" y="50322"/>
            <a:ext cx="859154" cy="746768"/>
          </a:xfrm>
          <a:prstGeom prst="rect">
            <a:avLst/>
          </a:prstGeom>
        </xdr:spPr>
      </xdr:pic>
    </xdr:grpSp>
    <xdr:clientData/>
  </xdr:twoCellAnchor>
  <xdr:twoCellAnchor editAs="oneCell">
    <xdr:from>
      <xdr:col>16</xdr:col>
      <xdr:colOff>22859</xdr:colOff>
      <xdr:row>5</xdr:row>
      <xdr:rowOff>19051</xdr:rowOff>
    </xdr:from>
    <xdr:to>
      <xdr:col>22</xdr:col>
      <xdr:colOff>0</xdr:colOff>
      <xdr:row>8</xdr:row>
      <xdr:rowOff>254000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a:fillRect/>
        </a:stretch>
      </xdr:blipFill>
      <xdr:spPr>
        <a:xfrm>
          <a:off x="13279120" y="1337310"/>
          <a:ext cx="6858635" cy="11696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609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7270750" y="22084665"/>
          <a:ext cx="184150" cy="60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95250</xdr:rowOff>
    </xdr:from>
    <xdr:to>
      <xdr:col>9</xdr:col>
      <xdr:colOff>1304925</xdr:colOff>
      <xdr:row>113</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75565" y="21265515"/>
          <a:ext cx="9664700" cy="4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549275</xdr:colOff>
      <xdr:row>110</xdr:row>
      <xdr:rowOff>15241</xdr:rowOff>
    </xdr:from>
    <xdr:to>
      <xdr:col>21</xdr:col>
      <xdr:colOff>1348740</xdr:colOff>
      <xdr:row>113</xdr:row>
      <xdr:rowOff>15240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6694785" y="21185505"/>
          <a:ext cx="2239645" cy="548640"/>
        </a:xfrm>
        <a:prstGeom prst="rect">
          <a:avLst/>
        </a:prstGeom>
        <a:noFill/>
        <a:ln>
          <a:noFill/>
        </a:ln>
      </xdr:spPr>
    </xdr:pic>
    <xdr:clientData/>
  </xdr:twoCellAnchor>
  <xdr:twoCellAnchor>
    <xdr:from>
      <xdr:col>4</xdr:col>
      <xdr:colOff>325691</xdr:colOff>
      <xdr:row>0</xdr:row>
      <xdr:rowOff>66242</xdr:rowOff>
    </xdr:from>
    <xdr:to>
      <xdr:col>13</xdr:col>
      <xdr:colOff>93345</xdr:colOff>
      <xdr:row>2</xdr:row>
      <xdr:rowOff>240030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5256530" y="66040"/>
          <a:ext cx="6556375" cy="684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clientData/>
  </xdr:twoCellAnchor>
  <xdr:twoCellAnchor>
    <xdr:from>
      <xdr:col>18</xdr:col>
      <xdr:colOff>0</xdr:colOff>
      <xdr:row>3</xdr:row>
      <xdr:rowOff>53340</xdr:rowOff>
    </xdr:from>
    <xdr:to>
      <xdr:col>21</xdr:col>
      <xdr:colOff>1950720</xdr:colOff>
      <xdr:row>4</xdr:row>
      <xdr:rowOff>152400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4598650" y="906780"/>
          <a:ext cx="493776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2  Filipino</a:t>
          </a:r>
          <a:r>
            <a:rPr lang="en-PH" sz="1800" b="1" baseline="0">
              <a:solidFill>
                <a:schemeClr val="bg1"/>
              </a:solidFill>
            </a:rPr>
            <a:t> </a:t>
          </a:r>
          <a:r>
            <a:rPr lang="en-PH" sz="1800" b="1">
              <a:solidFill>
                <a:schemeClr val="bg1"/>
              </a:solidFill>
            </a:rPr>
            <a:t>Reading Assessment Scoresheet</a:t>
          </a:r>
        </a:p>
      </xdr:txBody>
    </xdr:sp>
    <xdr:clientData/>
  </xdr:twoCellAnchor>
  <xdr:twoCellAnchor>
    <xdr:from>
      <xdr:col>20</xdr:col>
      <xdr:colOff>533400</xdr:colOff>
      <xdr:row>0</xdr:row>
      <xdr:rowOff>91440</xdr:rowOff>
    </xdr:from>
    <xdr:to>
      <xdr:col>21</xdr:col>
      <xdr:colOff>2294389</xdr:colOff>
      <xdr:row>2</xdr:row>
      <xdr:rowOff>228048</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17649825" y="91440"/>
          <a:ext cx="3361189" cy="641433"/>
          <a:chOff x="16253460" y="45720"/>
          <a:chExt cx="3198311" cy="645560"/>
        </a:xfrm>
      </xdr:grpSpPr>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3</xdr:col>
      <xdr:colOff>190500</xdr:colOff>
      <xdr:row>0</xdr:row>
      <xdr:rowOff>28575</xdr:rowOff>
    </xdr:from>
    <xdr:to>
      <xdr:col>4</xdr:col>
      <xdr:colOff>213359</xdr:colOff>
      <xdr:row>2</xdr:row>
      <xdr:rowOff>262898</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91965" y="28575"/>
          <a:ext cx="852170" cy="744855"/>
        </a:xfrm>
        <a:prstGeom prst="rect">
          <a:avLst/>
        </a:prstGeom>
      </xdr:spPr>
    </xdr:pic>
    <xdr:clientData/>
  </xdr:twoCellAnchor>
  <xdr:twoCellAnchor editAs="oneCell">
    <xdr:from>
      <xdr:col>16</xdr:col>
      <xdr:colOff>9525</xdr:colOff>
      <xdr:row>4</xdr:row>
      <xdr:rowOff>171450</xdr:rowOff>
    </xdr:from>
    <xdr:to>
      <xdr:col>22</xdr:col>
      <xdr:colOff>22860</xdr:colOff>
      <xdr:row>9</xdr:row>
      <xdr:rowOff>15722</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3"/>
        <a:stretch>
          <a:fillRect/>
        </a:stretch>
      </xdr:blipFill>
      <xdr:spPr>
        <a:xfrm>
          <a:off x="13206095" y="1261110"/>
          <a:ext cx="6734175" cy="11772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24765</xdr:colOff>
      <xdr:row>108</xdr:row>
      <xdr:rowOff>123825</xdr:rowOff>
    </xdr:from>
    <xdr:to>
      <xdr:col>10</xdr:col>
      <xdr:colOff>672465</xdr:colOff>
      <xdr:row>111</xdr:row>
      <xdr:rowOff>76200</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4765" y="20450175"/>
          <a:ext cx="10934065" cy="501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16</xdr:col>
      <xdr:colOff>262890</xdr:colOff>
      <xdr:row>108</xdr:row>
      <xdr:rowOff>28574</xdr:rowOff>
    </xdr:from>
    <xdr:to>
      <xdr:col>16</xdr:col>
      <xdr:colOff>2512127</xdr:colOff>
      <xdr:row>111</xdr:row>
      <xdr:rowOff>60959</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6407765" y="20354290"/>
          <a:ext cx="2249170" cy="581025"/>
        </a:xfrm>
        <a:prstGeom prst="rect">
          <a:avLst/>
        </a:prstGeom>
      </xdr:spPr>
    </xdr:pic>
    <xdr:clientData/>
  </xdr:twoCellAnchor>
  <xdr:twoCellAnchor editAs="oneCell">
    <xdr:from>
      <xdr:col>0</xdr:col>
      <xdr:colOff>62865</xdr:colOff>
      <xdr:row>1</xdr:row>
      <xdr:rowOff>19050</xdr:rowOff>
    </xdr:from>
    <xdr:to>
      <xdr:col>6</xdr:col>
      <xdr:colOff>363855</xdr:colOff>
      <xdr:row>3</xdr:row>
      <xdr:rowOff>282004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2865" y="201930"/>
          <a:ext cx="6587490" cy="674370"/>
        </a:xfrm>
        <a:prstGeom prst="rect">
          <a:avLst/>
        </a:prstGeom>
      </xdr:spPr>
    </xdr:pic>
    <xdr:clientData/>
  </xdr:twoCellAnchor>
  <xdr:twoCellAnchor>
    <xdr:from>
      <xdr:col>15</xdr:col>
      <xdr:colOff>1343025</xdr:colOff>
      <xdr:row>0</xdr:row>
      <xdr:rowOff>133350</xdr:rowOff>
    </xdr:from>
    <xdr:to>
      <xdr:col>17</xdr:col>
      <xdr:colOff>6484</xdr:colOff>
      <xdr:row>3</xdr:row>
      <xdr:rowOff>191853</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17325975" y="133350"/>
          <a:ext cx="3711709" cy="649053"/>
          <a:chOff x="16253460" y="45720"/>
          <a:chExt cx="3198311" cy="645560"/>
        </a:xfrm>
      </xdr:grpSpPr>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3"/>
          <a:stretch>
            <a:fillRect/>
          </a:stretch>
        </xdr:blipFill>
        <xdr:spPr>
          <a:xfrm>
            <a:off x="16524208" y="45720"/>
            <a:ext cx="2551828" cy="480696"/>
          </a:xfrm>
          <a:prstGeom prst="rect">
            <a:avLst/>
          </a:prstGeom>
          <a:noFill/>
          <a:ln>
            <a:noFill/>
          </a:ln>
        </xdr:spPr>
      </xdr:pic>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545703</xdr:colOff>
      <xdr:row>46</xdr:row>
      <xdr:rowOff>133667</xdr:rowOff>
    </xdr:from>
    <xdr:to>
      <xdr:col>17</xdr:col>
      <xdr:colOff>162560</xdr:colOff>
      <xdr:row>66</xdr:row>
      <xdr:rowOff>124777</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234872</xdr:colOff>
      <xdr:row>89</xdr:row>
      <xdr:rowOff>65244</xdr:rowOff>
    </xdr:from>
    <xdr:to>
      <xdr:col>10</xdr:col>
      <xdr:colOff>406797</xdr:colOff>
      <xdr:row>93</xdr:row>
      <xdr:rowOff>44607</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234315" y="18076545"/>
          <a:ext cx="860552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14</xdr:col>
      <xdr:colOff>586502</xdr:colOff>
      <xdr:row>88</xdr:row>
      <xdr:rowOff>48337</xdr:rowOff>
    </xdr:from>
    <xdr:to>
      <xdr:col>18</xdr:col>
      <xdr:colOff>361790</xdr:colOff>
      <xdr:row>91</xdr:row>
      <xdr:rowOff>154939</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2"/>
        <a:stretch>
          <a:fillRect/>
        </a:stretch>
      </xdr:blipFill>
      <xdr:spPr>
        <a:xfrm>
          <a:off x="11884025" y="17877155"/>
          <a:ext cx="2556510" cy="654685"/>
        </a:xfrm>
        <a:prstGeom prst="rect">
          <a:avLst/>
        </a:prstGeom>
      </xdr:spPr>
    </xdr:pic>
    <xdr:clientData/>
  </xdr:twoCellAnchor>
  <xdr:twoCellAnchor>
    <xdr:from>
      <xdr:col>15</xdr:col>
      <xdr:colOff>41277</xdr:colOff>
      <xdr:row>13</xdr:row>
      <xdr:rowOff>293211</xdr:rowOff>
    </xdr:from>
    <xdr:to>
      <xdr:col>18</xdr:col>
      <xdr:colOff>543403</xdr:colOff>
      <xdr:row>27</xdr:row>
      <xdr:rowOff>33576</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514031</xdr:colOff>
      <xdr:row>15</xdr:row>
      <xdr:rowOff>24131</xdr:rowOff>
    </xdr:from>
    <xdr:to>
      <xdr:col>18</xdr:col>
      <xdr:colOff>77468</xdr:colOff>
      <xdr:row>16</xdr:row>
      <xdr:rowOff>122794</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12482195" y="4209415"/>
          <a:ext cx="1673860" cy="2813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t>% of Learners Assessed</a:t>
          </a:r>
        </a:p>
      </xdr:txBody>
    </xdr:sp>
    <xdr:clientData/>
  </xdr:twoCellAnchor>
  <xdr:twoCellAnchor>
    <xdr:from>
      <xdr:col>0</xdr:col>
      <xdr:colOff>555308</xdr:colOff>
      <xdr:row>25</xdr:row>
      <xdr:rowOff>150812</xdr:rowOff>
    </xdr:from>
    <xdr:to>
      <xdr:col>17</xdr:col>
      <xdr:colOff>188515</xdr:colOff>
      <xdr:row>45</xdr:row>
      <xdr:rowOff>115888</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174784</xdr:colOff>
      <xdr:row>67</xdr:row>
      <xdr:rowOff>148828</xdr:rowOff>
    </xdr:from>
    <xdr:to>
      <xdr:col>10</xdr:col>
      <xdr:colOff>218282</xdr:colOff>
      <xdr:row>87</xdr:row>
      <xdr:rowOff>134223</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342899</xdr:colOff>
      <xdr:row>67</xdr:row>
      <xdr:rowOff>166370</xdr:rowOff>
    </xdr:from>
    <xdr:to>
      <xdr:col>18</xdr:col>
      <xdr:colOff>496093</xdr:colOff>
      <xdr:row>87</xdr:row>
      <xdr:rowOff>151765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466964</xdr:colOff>
      <xdr:row>0</xdr:row>
      <xdr:rowOff>119062</xdr:rowOff>
    </xdr:from>
    <xdr:to>
      <xdr:col>19</xdr:col>
      <xdr:colOff>151131</xdr:colOff>
      <xdr:row>4</xdr:row>
      <xdr:rowOff>59277</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rcRect r="18058"/>
        <a:stretch>
          <a:fillRect/>
        </a:stretch>
      </xdr:blipFill>
      <xdr:spPr>
        <a:xfrm>
          <a:off x="9570720" y="118745"/>
          <a:ext cx="5398770" cy="6870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801191</xdr:colOff>
      <xdr:row>12</xdr:row>
      <xdr:rowOff>91440</xdr:rowOff>
    </xdr:from>
    <xdr:to>
      <xdr:col>6</xdr:col>
      <xdr:colOff>255203</xdr:colOff>
      <xdr:row>43</xdr:row>
      <xdr:rowOff>3296</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00735" y="3356610"/>
          <a:ext cx="9999980" cy="55810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D110"/>
  <sheetViews>
    <sheetView zoomScale="56" zoomScaleNormal="60" workbookViewId="0">
      <pane xSplit="3" ySplit="10" topLeftCell="D11" activePane="bottomRight" state="frozen"/>
      <selection pane="bottomRight" activeCell="D26" sqref="D26"/>
      <selection pane="bottomLeft"/>
      <selection pane="topRight"/>
    </sheetView>
  </sheetViews>
  <sheetFormatPr defaultColWidth="0" defaultRowHeight="14.45"/>
  <cols>
    <col min="1" max="1" width="4.875" customWidth="1"/>
    <col min="2" max="2" width="15.5" style="2" customWidth="1"/>
    <col min="3" max="3" width="30.625" customWidth="1"/>
    <col min="4" max="4" width="12.125" style="1" customWidth="1"/>
    <col min="5" max="5" width="11.625" style="1" customWidth="1"/>
    <col min="6" max="6" width="9.5" style="1" customWidth="1"/>
    <col min="7" max="7" width="8.125" style="1" customWidth="1"/>
    <col min="8" max="8" width="9.375" style="1" customWidth="1"/>
    <col min="9" max="9" width="10.5" style="1" customWidth="1"/>
    <col min="10" max="10" width="20.125" style="139" customWidth="1"/>
    <col min="11" max="11" width="9.875" style="1" customWidth="1"/>
    <col min="12" max="12" width="8.625" style="1" customWidth="1"/>
    <col min="13" max="13" width="9.5" style="1" customWidth="1"/>
    <col min="14" max="14" width="6.125" style="1" customWidth="1"/>
    <col min="15" max="15" width="5.125" style="1" customWidth="1"/>
    <col min="16" max="16" width="10.375" style="1" customWidth="1"/>
    <col min="17" max="17" width="9.5" style="1" customWidth="1"/>
    <col min="18" max="18" width="10.875" style="1" customWidth="1"/>
    <col min="19" max="19" width="11.875" style="1" customWidth="1"/>
    <col min="20" max="20" width="10.875" style="1" customWidth="1"/>
    <col min="21" max="21" width="23.375" style="1" customWidth="1"/>
    <col min="22" max="22" width="34" customWidth="1"/>
    <col min="23" max="23" width="8.875" customWidth="1"/>
    <col min="24" max="29" width="10.625" hidden="1" customWidth="1"/>
    <col min="30" max="30" width="10.625" customWidth="1"/>
    <col min="31" max="16384" width="10.625" hidden="1"/>
  </cols>
  <sheetData>
    <row r="1" spans="1:26" ht="22.35" customHeight="1">
      <c r="A1" t="s">
        <v>0</v>
      </c>
    </row>
    <row r="2" spans="1:26" ht="18" customHeight="1"/>
    <row r="3" spans="1:26" ht="27" customHeight="1">
      <c r="A3" s="285" t="s">
        <v>1</v>
      </c>
      <c r="B3" s="286"/>
      <c r="C3" s="237" t="s">
        <v>2</v>
      </c>
    </row>
    <row r="4" spans="1:26" ht="18.600000000000001" customHeight="1">
      <c r="A4" s="287" t="s">
        <v>3</v>
      </c>
      <c r="B4" s="288"/>
      <c r="C4" s="238">
        <v>117443</v>
      </c>
      <c r="D4" s="239" t="s">
        <v>4</v>
      </c>
      <c r="E4" s="240"/>
      <c r="F4" s="142">
        <f>D6+E6</f>
        <v>13</v>
      </c>
      <c r="G4" s="289" t="s">
        <v>5</v>
      </c>
      <c r="H4" s="289"/>
      <c r="I4" s="178">
        <f>COUNTIF(F11:F110,"&lt;&gt;")</f>
        <v>13</v>
      </c>
      <c r="J4" s="179"/>
      <c r="K4" s="180"/>
      <c r="L4" s="180"/>
      <c r="M4" s="180"/>
      <c r="N4" s="180"/>
      <c r="O4" s="180"/>
      <c r="P4" s="180"/>
      <c r="Q4" s="180"/>
      <c r="R4" s="180"/>
      <c r="S4" s="180"/>
      <c r="T4" s="180"/>
      <c r="U4" s="180"/>
      <c r="V4" s="201"/>
    </row>
    <row r="5" spans="1:26" ht="18" customHeight="1">
      <c r="A5" s="290" t="s">
        <v>6</v>
      </c>
      <c r="B5" s="291"/>
      <c r="C5" s="241" t="s">
        <v>7</v>
      </c>
      <c r="D5" s="242" t="s">
        <v>8</v>
      </c>
      <c r="E5" s="243" t="s">
        <v>9</v>
      </c>
      <c r="F5" s="313" t="s">
        <v>10</v>
      </c>
      <c r="G5" s="314"/>
      <c r="H5" s="314"/>
      <c r="I5" s="314"/>
      <c r="J5" s="305" t="s">
        <v>11</v>
      </c>
      <c r="K5" s="317" t="s">
        <v>12</v>
      </c>
      <c r="L5" s="318"/>
      <c r="M5" s="318"/>
      <c r="N5" s="318"/>
      <c r="O5" s="318"/>
      <c r="P5" s="318"/>
      <c r="Q5" s="202"/>
      <c r="R5" s="202"/>
      <c r="S5" s="202"/>
      <c r="T5" s="202"/>
      <c r="U5" s="202"/>
      <c r="V5" s="203"/>
    </row>
    <row r="6" spans="1:26" ht="19.7" customHeight="1">
      <c r="A6" s="292" t="s">
        <v>13</v>
      </c>
      <c r="B6" s="293"/>
      <c r="C6" s="241" t="s">
        <v>14</v>
      </c>
      <c r="D6" s="244">
        <v>5</v>
      </c>
      <c r="E6" s="245">
        <v>8</v>
      </c>
      <c r="F6" s="315"/>
      <c r="G6" s="316"/>
      <c r="H6" s="316"/>
      <c r="I6" s="316"/>
      <c r="J6" s="306"/>
      <c r="K6" s="319"/>
      <c r="L6" s="320"/>
      <c r="M6" s="320"/>
      <c r="N6" s="320"/>
      <c r="O6" s="320"/>
      <c r="P6" s="320"/>
      <c r="Q6" s="321"/>
      <c r="R6" s="322"/>
      <c r="S6" s="322"/>
      <c r="T6" s="323"/>
      <c r="U6" s="311"/>
      <c r="V6" s="312"/>
    </row>
    <row r="7" spans="1:26" ht="36" customHeight="1">
      <c r="A7" s="292" t="s">
        <v>15</v>
      </c>
      <c r="B7" s="293"/>
      <c r="C7" s="246" t="s">
        <v>16</v>
      </c>
      <c r="D7" s="294" t="s">
        <v>17</v>
      </c>
      <c r="E7" s="295"/>
      <c r="F7" s="300" t="s">
        <v>18</v>
      </c>
      <c r="G7" s="302" t="s">
        <v>19</v>
      </c>
      <c r="H7" s="302" t="s">
        <v>20</v>
      </c>
      <c r="I7" s="303" t="s">
        <v>21</v>
      </c>
      <c r="J7" s="306"/>
      <c r="K7" s="181" t="s">
        <v>22</v>
      </c>
      <c r="L7" s="182" t="s">
        <v>23</v>
      </c>
      <c r="M7" s="183">
        <f>_xlfn.IFNA(IF(X9=1,Y9,IF(D9&gt;0,D9,95)),"")</f>
        <v>96</v>
      </c>
      <c r="N7" s="296" t="s">
        <v>24</v>
      </c>
      <c r="O7" s="296"/>
      <c r="P7" s="183">
        <f>_xlfn.IFNA(IF(X9=1,Z9,IF(E9&gt;0,E9,95)),"")</f>
        <v>94</v>
      </c>
      <c r="Q7" s="324"/>
      <c r="R7" s="311"/>
      <c r="S7" s="311"/>
      <c r="T7" s="312"/>
      <c r="U7" s="311"/>
      <c r="V7" s="312"/>
    </row>
    <row r="8" spans="1:26" ht="17.45" customHeight="1">
      <c r="A8" s="292" t="s">
        <v>25</v>
      </c>
      <c r="B8" s="293"/>
      <c r="C8" s="241">
        <v>1</v>
      </c>
      <c r="D8" s="247" t="s">
        <v>23</v>
      </c>
      <c r="E8" s="248" t="s">
        <v>24</v>
      </c>
      <c r="F8" s="300"/>
      <c r="G8" s="302"/>
      <c r="H8" s="302"/>
      <c r="I8" s="304"/>
      <c r="J8" s="306"/>
      <c r="K8" s="301" t="s">
        <v>26</v>
      </c>
      <c r="L8" s="303" t="s">
        <v>27</v>
      </c>
      <c r="M8" s="303" t="s">
        <v>28</v>
      </c>
      <c r="N8" s="325" t="s">
        <v>29</v>
      </c>
      <c r="O8" s="326"/>
      <c r="P8" s="309" t="s">
        <v>30</v>
      </c>
      <c r="Q8" s="324"/>
      <c r="R8" s="311"/>
      <c r="S8" s="311"/>
      <c r="T8" s="312"/>
      <c r="U8" s="311"/>
      <c r="V8" s="312"/>
    </row>
    <row r="9" spans="1:26" ht="29.1" customHeight="1">
      <c r="A9" s="297" t="s">
        <v>31</v>
      </c>
      <c r="B9" s="298"/>
      <c r="C9" s="249" t="s">
        <v>32</v>
      </c>
      <c r="D9" s="250"/>
      <c r="E9" s="251"/>
      <c r="F9" s="301"/>
      <c r="G9" s="303"/>
      <c r="H9" s="303"/>
      <c r="I9" s="304"/>
      <c r="J9" s="306"/>
      <c r="K9" s="307"/>
      <c r="L9" s="308"/>
      <c r="M9" s="308"/>
      <c r="N9" s="327"/>
      <c r="O9" s="328"/>
      <c r="P9" s="310"/>
      <c r="Q9" s="324"/>
      <c r="R9" s="311"/>
      <c r="S9" s="311"/>
      <c r="T9" s="312"/>
      <c r="U9" s="311"/>
      <c r="V9" s="312"/>
      <c r="X9" s="204">
        <f>IF(_xlfn.IFNA(VLOOKUP($C$9,List!$G$2:$M$20,1,0),"")=C9,1,0)</f>
        <v>1</v>
      </c>
      <c r="Y9" s="204">
        <f>VLOOKUP($C$9,List!$G$2:$M$20,4,0)</f>
        <v>96</v>
      </c>
      <c r="Z9" s="204">
        <f>VLOOKUP($C$9,List!$G$2:$M$20,7,0)</f>
        <v>94</v>
      </c>
    </row>
    <row r="10" spans="1:26" ht="35.450000000000003" customHeight="1">
      <c r="A10" s="153" t="s">
        <v>33</v>
      </c>
      <c r="B10" s="154" t="s">
        <v>34</v>
      </c>
      <c r="C10" s="155" t="s">
        <v>35</v>
      </c>
      <c r="D10" s="156" t="s">
        <v>36</v>
      </c>
      <c r="E10" s="157" t="s">
        <v>37</v>
      </c>
      <c r="F10" s="252" t="s">
        <v>38</v>
      </c>
      <c r="G10" s="253" t="s">
        <v>39</v>
      </c>
      <c r="H10" s="253" t="s">
        <v>40</v>
      </c>
      <c r="I10" s="159" t="s">
        <v>41</v>
      </c>
      <c r="J10" s="184" t="s">
        <v>42</v>
      </c>
      <c r="K10" s="185" t="s">
        <v>43</v>
      </c>
      <c r="L10" s="186" t="s">
        <v>44</v>
      </c>
      <c r="M10" s="187" t="s">
        <v>45</v>
      </c>
      <c r="N10" s="299" t="s">
        <v>46</v>
      </c>
      <c r="O10" s="299"/>
      <c r="P10" s="187" t="s">
        <v>47</v>
      </c>
      <c r="Q10" s="205" t="s">
        <v>48</v>
      </c>
      <c r="R10" s="187" t="s">
        <v>49</v>
      </c>
      <c r="S10" s="205" t="s">
        <v>50</v>
      </c>
      <c r="T10" s="206" t="s">
        <v>51</v>
      </c>
      <c r="U10" s="207" t="s">
        <v>52</v>
      </c>
      <c r="V10" s="208" t="s">
        <v>53</v>
      </c>
    </row>
    <row r="11" spans="1:26">
      <c r="A11" s="64">
        <v>1</v>
      </c>
      <c r="B11" s="192">
        <v>117443230001</v>
      </c>
      <c r="C11" s="254" t="s">
        <v>54</v>
      </c>
      <c r="D11" s="255" t="s">
        <v>8</v>
      </c>
      <c r="E11" s="256">
        <v>46079</v>
      </c>
      <c r="F11" s="163">
        <v>10</v>
      </c>
      <c r="G11" s="164"/>
      <c r="H11" s="164">
        <v>9</v>
      </c>
      <c r="I11" s="188">
        <f>IF(AND(F11="",G11=""),"",IF(F11&lt;7,F11+G11,F11+10+H11))</f>
        <v>29</v>
      </c>
      <c r="J11" s="189" t="str">
        <f>IF(I11="","",IF(F11&lt;7,IF(I11&lt;=10,"Full Refresher","Moderate Refresher"),IF(I11&lt;27,"Light Refresher","Grade Ready")))</f>
        <v>Grade Ready</v>
      </c>
      <c r="K11" s="190">
        <v>1</v>
      </c>
      <c r="L11" s="191">
        <v>20</v>
      </c>
      <c r="M11" s="166">
        <f>IF($C$9&lt;&gt;"",IF(OR(K11=1,K11=2),IF(K11=1,M$7-L11,$P$7-L11),""),"")</f>
        <v>76</v>
      </c>
      <c r="N11" s="192">
        <v>2</v>
      </c>
      <c r="O11" s="192">
        <v>0</v>
      </c>
      <c r="P11" s="160">
        <f>IFERROR(IF(AND(K11&gt;0,M11&gt;0,OR(N11&gt;0,O11&gt;0)),(M11/((N11*60)+O11))*60,""),"")</f>
        <v>38</v>
      </c>
      <c r="Q11" s="209">
        <f>IFERROR(IF(OR(K11=1,K11=2),IF(K11=1,M11/$M$7,M11/$P$7),""),"")</f>
        <v>0.79166666666666663</v>
      </c>
      <c r="R11" s="192">
        <v>4</v>
      </c>
      <c r="S11" s="192">
        <v>5</v>
      </c>
      <c r="T11" s="210" t="s">
        <v>55</v>
      </c>
      <c r="U11" s="211" t="str">
        <f>IF(J11&lt;&gt;"",IF(J11="Full Refresher","Low Emerging Reader",IF(AND(K11&gt;0,Q11&lt;&gt;""),IF(OR(Q11&lt;=25%,AND(Q11&gt;25%,Q11&lt;=50%,R11=0)),"High Emerging Reader",IF(OR(AND(Q11&gt;25%,Q11&lt;51%,R11&gt;=1),AND(Q11&gt;50%,Q11&lt;76%,R11&lt;=2)),"Developing Reader",IF(OR(AND(Q11&gt;=51%,Q11&lt;76%,R11&gt;=3),AND(Q11&gt;75%,R11&lt;=4)),"Transitioning Reader",IF(AND(Q11&gt;75%,R11&gt;=5),"Reading At Grade Level","")))),"")),"")</f>
        <v>Transitioning Reader</v>
      </c>
      <c r="V11" s="212"/>
      <c r="Y11" s="219">
        <f>IF(C11&lt;&gt;"",R11/6,"")</f>
        <v>0.66666666666666663</v>
      </c>
    </row>
    <row r="12" spans="1:26">
      <c r="A12" s="165">
        <v>2</v>
      </c>
      <c r="B12" s="174">
        <v>117443240001</v>
      </c>
      <c r="C12" s="257" t="s">
        <v>56</v>
      </c>
      <c r="D12" s="255" t="s">
        <v>8</v>
      </c>
      <c r="E12" s="256">
        <v>46080</v>
      </c>
      <c r="F12" s="170">
        <v>1</v>
      </c>
      <c r="G12" s="171">
        <v>0</v>
      </c>
      <c r="H12" s="171">
        <v>10</v>
      </c>
      <c r="I12" s="193">
        <f t="shared" ref="I12:I75" si="0">IF(AND(F12="",G12=""),"",IF(F12&lt;7,F12+G12,F12+10+H12))</f>
        <v>1</v>
      </c>
      <c r="J12" s="194" t="str">
        <f t="shared" ref="J12:J75" si="1">IF(I12="","",IF(F12&lt;7,IF(I12&lt;=10,"Full Refresher","Moderate Refresher"),IF(I12&lt;27,"Light Refresher","Grade Ready")))</f>
        <v>Full Refresher</v>
      </c>
      <c r="K12" s="195"/>
      <c r="L12" s="196"/>
      <c r="M12" s="166" t="str">
        <f t="shared" ref="M12:M75" si="2">IF($C$9&lt;&gt;"",IF(OR(K12=1,K12=2),IF(K12=1,M$7-L12,$P$7-L12),""),"")</f>
        <v/>
      </c>
      <c r="N12" s="174"/>
      <c r="O12" s="174"/>
      <c r="P12" s="166" t="str">
        <f t="shared" ref="P12:P75" si="3">IFERROR(IF(AND(K12&gt;0,M12&gt;0,OR(N12&gt;0,O12&gt;0)),(M12/((N12*60)+O12))*60,""),"")</f>
        <v/>
      </c>
      <c r="Q12" s="213" t="str">
        <f t="shared" ref="Q12:Q75" si="4">IFERROR(IF(OR(K12=1,K12=2),IF(K12=1,M12/$M$7,M12/$P$7),""),"")</f>
        <v/>
      </c>
      <c r="R12" s="174"/>
      <c r="S12" s="174"/>
      <c r="T12" s="214"/>
      <c r="U12" s="215" t="str">
        <f t="shared" ref="U12:U75" si="5">IF(J12&lt;&gt;"",IF(J12="Full Refresher","Low Emerging Reader",IF(AND(K12&gt;0,Q12&lt;&gt;""),IF(OR(Q12&lt;=25%,AND(Q12&gt;25%,Q12&lt;=50%,R12=0)),"High Emerging Reader",IF(OR(AND(Q12&gt;25%,Q12&lt;51%,R12&gt;=1),AND(Q12&gt;50%,Q12&lt;76%,R12&lt;=2)),"Developing Reader",IF(OR(AND(Q12&gt;=51%,Q12&lt;76%,R12&gt;=3),AND(Q12&gt;75%,R12&lt;=4)),"Transitioning Reader",IF(AND(Q12&gt;75%,R12&gt;=5),"Reading At Grade Level","")))),"")),"")</f>
        <v>Low Emerging Reader</v>
      </c>
      <c r="V12" s="216"/>
      <c r="Y12" s="219">
        <f t="shared" ref="Y12:Y75" si="6">IF(C12&lt;&gt;"",R12/6,"")</f>
        <v>0</v>
      </c>
    </row>
    <row r="13" spans="1:26">
      <c r="A13" s="57">
        <v>3</v>
      </c>
      <c r="B13" s="173">
        <v>117443230003</v>
      </c>
      <c r="C13" s="258" t="s">
        <v>57</v>
      </c>
      <c r="D13" s="255" t="s">
        <v>8</v>
      </c>
      <c r="E13" s="256">
        <v>46080</v>
      </c>
      <c r="F13" s="172">
        <v>10</v>
      </c>
      <c r="G13" s="164"/>
      <c r="H13" s="173">
        <v>9</v>
      </c>
      <c r="I13" s="193">
        <f t="shared" si="0"/>
        <v>29</v>
      </c>
      <c r="J13" s="194" t="str">
        <f t="shared" si="1"/>
        <v>Grade Ready</v>
      </c>
      <c r="K13" s="197">
        <v>1</v>
      </c>
      <c r="L13" s="198">
        <v>20</v>
      </c>
      <c r="M13" s="166">
        <f t="shared" si="2"/>
        <v>76</v>
      </c>
      <c r="N13" s="173">
        <v>2</v>
      </c>
      <c r="O13" s="173">
        <v>0</v>
      </c>
      <c r="P13" s="166">
        <f t="shared" si="3"/>
        <v>38</v>
      </c>
      <c r="Q13" s="213">
        <f t="shared" si="4"/>
        <v>0.79166666666666663</v>
      </c>
      <c r="R13" s="173">
        <v>4</v>
      </c>
      <c r="S13" s="173">
        <v>5</v>
      </c>
      <c r="T13" s="217" t="s">
        <v>55</v>
      </c>
      <c r="U13" s="215" t="str">
        <f t="shared" si="5"/>
        <v>Transitioning Reader</v>
      </c>
      <c r="V13" s="218"/>
      <c r="Y13" s="219">
        <f t="shared" si="6"/>
        <v>0.66666666666666663</v>
      </c>
    </row>
    <row r="14" spans="1:26">
      <c r="A14" s="165">
        <v>4</v>
      </c>
      <c r="B14" s="174">
        <v>117443230005</v>
      </c>
      <c r="C14" s="257" t="s">
        <v>58</v>
      </c>
      <c r="D14" s="255" t="s">
        <v>8</v>
      </c>
      <c r="E14" s="256">
        <v>46082</v>
      </c>
      <c r="F14" s="170">
        <v>9</v>
      </c>
      <c r="G14" s="171"/>
      <c r="H14" s="174">
        <v>10</v>
      </c>
      <c r="I14" s="193">
        <f t="shared" si="0"/>
        <v>29</v>
      </c>
      <c r="J14" s="194" t="str">
        <f t="shared" si="1"/>
        <v>Grade Ready</v>
      </c>
      <c r="K14" s="195">
        <v>1</v>
      </c>
      <c r="L14" s="196">
        <v>4</v>
      </c>
      <c r="M14" s="166">
        <f t="shared" si="2"/>
        <v>92</v>
      </c>
      <c r="N14" s="174">
        <v>2</v>
      </c>
      <c r="O14" s="174">
        <v>0</v>
      </c>
      <c r="P14" s="166">
        <f t="shared" si="3"/>
        <v>46</v>
      </c>
      <c r="Q14" s="213">
        <f t="shared" si="4"/>
        <v>0.95833333333333337</v>
      </c>
      <c r="R14" s="174">
        <v>4</v>
      </c>
      <c r="S14" s="174">
        <v>5</v>
      </c>
      <c r="T14" s="214" t="s">
        <v>59</v>
      </c>
      <c r="U14" s="215" t="str">
        <f t="shared" si="5"/>
        <v>Transitioning Reader</v>
      </c>
      <c r="V14" s="216"/>
      <c r="Y14" s="219">
        <f t="shared" si="6"/>
        <v>0.66666666666666663</v>
      </c>
    </row>
    <row r="15" spans="1:26">
      <c r="A15" s="57">
        <v>5</v>
      </c>
      <c r="B15" s="173">
        <v>117443230014</v>
      </c>
      <c r="C15" s="258" t="s">
        <v>60</v>
      </c>
      <c r="D15" s="255" t="s">
        <v>8</v>
      </c>
      <c r="E15" s="256">
        <v>46083</v>
      </c>
      <c r="F15" s="172">
        <v>10</v>
      </c>
      <c r="G15" s="164"/>
      <c r="H15" s="173">
        <v>10</v>
      </c>
      <c r="I15" s="193">
        <f t="shared" si="0"/>
        <v>30</v>
      </c>
      <c r="J15" s="194" t="str">
        <f t="shared" si="1"/>
        <v>Grade Ready</v>
      </c>
      <c r="K15" s="197">
        <v>2</v>
      </c>
      <c r="L15" s="198">
        <v>4</v>
      </c>
      <c r="M15" s="166">
        <f t="shared" si="2"/>
        <v>90</v>
      </c>
      <c r="N15" s="173">
        <v>2</v>
      </c>
      <c r="O15" s="173">
        <v>0</v>
      </c>
      <c r="P15" s="166">
        <f t="shared" si="3"/>
        <v>45</v>
      </c>
      <c r="Q15" s="213">
        <f t="shared" si="4"/>
        <v>0.95744680851063835</v>
      </c>
      <c r="R15" s="173">
        <v>5</v>
      </c>
      <c r="S15" s="173">
        <v>5</v>
      </c>
      <c r="T15" s="217" t="s">
        <v>59</v>
      </c>
      <c r="U15" s="215" t="str">
        <f t="shared" si="5"/>
        <v>Reading At Grade Level</v>
      </c>
      <c r="V15" s="218"/>
      <c r="Y15" s="219">
        <f t="shared" si="6"/>
        <v>0.83333333333333337</v>
      </c>
    </row>
    <row r="16" spans="1:26">
      <c r="A16" s="165">
        <v>6</v>
      </c>
      <c r="B16" s="174">
        <v>117443230007</v>
      </c>
      <c r="C16" s="257" t="s">
        <v>61</v>
      </c>
      <c r="D16" s="255" t="s">
        <v>9</v>
      </c>
      <c r="E16" s="256">
        <v>46084</v>
      </c>
      <c r="F16" s="170">
        <v>2</v>
      </c>
      <c r="G16" s="171">
        <v>2</v>
      </c>
      <c r="H16" s="174">
        <v>8</v>
      </c>
      <c r="I16" s="193">
        <f t="shared" si="0"/>
        <v>4</v>
      </c>
      <c r="J16" s="194" t="str">
        <f t="shared" si="1"/>
        <v>Full Refresher</v>
      </c>
      <c r="K16" s="195"/>
      <c r="L16" s="196"/>
      <c r="M16" s="166" t="str">
        <f t="shared" si="2"/>
        <v/>
      </c>
      <c r="N16" s="174"/>
      <c r="O16" s="174"/>
      <c r="P16" s="166" t="str">
        <f t="shared" si="3"/>
        <v/>
      </c>
      <c r="Q16" s="213" t="str">
        <f t="shared" si="4"/>
        <v/>
      </c>
      <c r="R16" s="174"/>
      <c r="S16" s="174"/>
      <c r="T16" s="214"/>
      <c r="U16" s="215" t="str">
        <f t="shared" si="5"/>
        <v>Low Emerging Reader</v>
      </c>
      <c r="V16" s="216"/>
      <c r="Y16" s="219">
        <f t="shared" si="6"/>
        <v>0</v>
      </c>
    </row>
    <row r="17" spans="1:25">
      <c r="A17" s="57">
        <v>7</v>
      </c>
      <c r="B17" s="173">
        <v>117443230008</v>
      </c>
      <c r="C17" s="258" t="s">
        <v>62</v>
      </c>
      <c r="D17" s="255" t="s">
        <v>9</v>
      </c>
      <c r="E17" s="256">
        <v>46085</v>
      </c>
      <c r="F17" s="172">
        <v>10</v>
      </c>
      <c r="G17" s="164"/>
      <c r="H17" s="173">
        <v>9</v>
      </c>
      <c r="I17" s="193">
        <f t="shared" si="0"/>
        <v>29</v>
      </c>
      <c r="J17" s="194" t="str">
        <f t="shared" si="1"/>
        <v>Grade Ready</v>
      </c>
      <c r="K17" s="197">
        <v>1</v>
      </c>
      <c r="L17" s="198">
        <v>5</v>
      </c>
      <c r="M17" s="166">
        <f t="shared" si="2"/>
        <v>91</v>
      </c>
      <c r="N17" s="173">
        <v>2</v>
      </c>
      <c r="O17" s="173">
        <v>0</v>
      </c>
      <c r="P17" s="166">
        <f t="shared" si="3"/>
        <v>45.5</v>
      </c>
      <c r="Q17" s="213">
        <f t="shared" si="4"/>
        <v>0.94791666666666663</v>
      </c>
      <c r="R17" s="173">
        <v>5</v>
      </c>
      <c r="S17" s="173">
        <v>5</v>
      </c>
      <c r="T17" s="217" t="s">
        <v>59</v>
      </c>
      <c r="U17" s="215" t="str">
        <f t="shared" si="5"/>
        <v>Reading At Grade Level</v>
      </c>
      <c r="V17" s="218"/>
      <c r="Y17" s="219">
        <f t="shared" si="6"/>
        <v>0.83333333333333337</v>
      </c>
    </row>
    <row r="18" spans="1:25">
      <c r="A18" s="165">
        <v>8</v>
      </c>
      <c r="B18" s="174">
        <v>117443230009</v>
      </c>
      <c r="C18" s="257" t="s">
        <v>63</v>
      </c>
      <c r="D18" s="255" t="s">
        <v>9</v>
      </c>
      <c r="E18" s="256">
        <v>46085</v>
      </c>
      <c r="F18" s="170">
        <v>8</v>
      </c>
      <c r="G18" s="171"/>
      <c r="H18" s="174">
        <v>9</v>
      </c>
      <c r="I18" s="193">
        <f t="shared" si="0"/>
        <v>27</v>
      </c>
      <c r="J18" s="194" t="str">
        <f t="shared" si="1"/>
        <v>Grade Ready</v>
      </c>
      <c r="K18" s="195">
        <v>1</v>
      </c>
      <c r="L18" s="196">
        <v>40</v>
      </c>
      <c r="M18" s="166">
        <f t="shared" si="2"/>
        <v>56</v>
      </c>
      <c r="N18" s="174">
        <v>2</v>
      </c>
      <c r="O18" s="174">
        <v>0</v>
      </c>
      <c r="P18" s="166">
        <f t="shared" si="3"/>
        <v>28</v>
      </c>
      <c r="Q18" s="213">
        <f t="shared" si="4"/>
        <v>0.58333333333333337</v>
      </c>
      <c r="R18" s="174">
        <v>3</v>
      </c>
      <c r="S18" s="174">
        <v>5</v>
      </c>
      <c r="T18" s="214" t="s">
        <v>64</v>
      </c>
      <c r="U18" s="215" t="str">
        <f t="shared" si="5"/>
        <v>Transitioning Reader</v>
      </c>
      <c r="V18" s="216"/>
      <c r="Y18" s="219">
        <f t="shared" si="6"/>
        <v>0.5</v>
      </c>
    </row>
    <row r="19" spans="1:25">
      <c r="A19" s="57">
        <v>9</v>
      </c>
      <c r="B19" s="173">
        <v>117443230010</v>
      </c>
      <c r="C19" s="258" t="s">
        <v>65</v>
      </c>
      <c r="D19" s="255" t="s">
        <v>9</v>
      </c>
      <c r="E19" s="256">
        <v>46085</v>
      </c>
      <c r="F19" s="172">
        <v>10</v>
      </c>
      <c r="G19" s="164"/>
      <c r="H19" s="173">
        <v>10</v>
      </c>
      <c r="I19" s="193">
        <f t="shared" si="0"/>
        <v>30</v>
      </c>
      <c r="J19" s="194" t="str">
        <f t="shared" si="1"/>
        <v>Grade Ready</v>
      </c>
      <c r="K19" s="197">
        <v>1</v>
      </c>
      <c r="L19" s="198">
        <v>9</v>
      </c>
      <c r="M19" s="166">
        <f t="shared" si="2"/>
        <v>87</v>
      </c>
      <c r="N19" s="173">
        <v>2</v>
      </c>
      <c r="O19" s="173">
        <v>0</v>
      </c>
      <c r="P19" s="166">
        <f t="shared" si="3"/>
        <v>43.5</v>
      </c>
      <c r="Q19" s="213">
        <f t="shared" si="4"/>
        <v>0.90625</v>
      </c>
      <c r="R19" s="173">
        <v>5</v>
      </c>
      <c r="S19" s="173">
        <v>5</v>
      </c>
      <c r="T19" s="217" t="s">
        <v>59</v>
      </c>
      <c r="U19" s="215" t="str">
        <f t="shared" si="5"/>
        <v>Reading At Grade Level</v>
      </c>
      <c r="V19" s="218"/>
      <c r="Y19" s="219">
        <f t="shared" si="6"/>
        <v>0.83333333333333337</v>
      </c>
    </row>
    <row r="20" spans="1:25">
      <c r="A20" s="165">
        <v>10</v>
      </c>
      <c r="B20" s="174">
        <v>117443230013</v>
      </c>
      <c r="C20" s="257" t="s">
        <v>66</v>
      </c>
      <c r="D20" s="255" t="s">
        <v>9</v>
      </c>
      <c r="E20" s="256">
        <v>46085</v>
      </c>
      <c r="F20" s="170">
        <v>10</v>
      </c>
      <c r="G20" s="171"/>
      <c r="H20" s="174">
        <v>10</v>
      </c>
      <c r="I20" s="193">
        <f t="shared" si="0"/>
        <v>30</v>
      </c>
      <c r="J20" s="194" t="str">
        <f t="shared" si="1"/>
        <v>Grade Ready</v>
      </c>
      <c r="K20" s="195">
        <v>2</v>
      </c>
      <c r="L20" s="196">
        <v>4</v>
      </c>
      <c r="M20" s="166">
        <f t="shared" si="2"/>
        <v>90</v>
      </c>
      <c r="N20" s="174">
        <v>2</v>
      </c>
      <c r="O20" s="174">
        <v>0</v>
      </c>
      <c r="P20" s="166">
        <f t="shared" si="3"/>
        <v>45</v>
      </c>
      <c r="Q20" s="213">
        <f t="shared" si="4"/>
        <v>0.95744680851063835</v>
      </c>
      <c r="R20" s="174">
        <v>5</v>
      </c>
      <c r="S20" s="174">
        <v>5</v>
      </c>
      <c r="T20" s="214" t="s">
        <v>59</v>
      </c>
      <c r="U20" s="215" t="str">
        <f t="shared" si="5"/>
        <v>Reading At Grade Level</v>
      </c>
      <c r="V20" s="216"/>
      <c r="Y20" s="219">
        <f t="shared" si="6"/>
        <v>0.83333333333333337</v>
      </c>
    </row>
    <row r="21" spans="1:25">
      <c r="A21" s="57">
        <v>11</v>
      </c>
      <c r="B21" s="173">
        <v>117443230011</v>
      </c>
      <c r="C21" s="258" t="s">
        <v>67</v>
      </c>
      <c r="D21" s="255" t="s">
        <v>9</v>
      </c>
      <c r="E21" s="256">
        <v>46079</v>
      </c>
      <c r="F21" s="172">
        <v>10</v>
      </c>
      <c r="G21" s="164"/>
      <c r="H21" s="173">
        <v>10</v>
      </c>
      <c r="I21" s="193">
        <f t="shared" si="0"/>
        <v>30</v>
      </c>
      <c r="J21" s="194" t="str">
        <f t="shared" si="1"/>
        <v>Grade Ready</v>
      </c>
      <c r="K21" s="197">
        <v>1</v>
      </c>
      <c r="L21" s="198">
        <v>5</v>
      </c>
      <c r="M21" s="166">
        <f t="shared" si="2"/>
        <v>91</v>
      </c>
      <c r="N21" s="173">
        <v>2</v>
      </c>
      <c r="O21" s="173">
        <v>0</v>
      </c>
      <c r="P21" s="166">
        <f t="shared" si="3"/>
        <v>45.5</v>
      </c>
      <c r="Q21" s="213">
        <f t="shared" si="4"/>
        <v>0.94791666666666663</v>
      </c>
      <c r="R21" s="173">
        <v>5</v>
      </c>
      <c r="S21" s="173">
        <v>5</v>
      </c>
      <c r="T21" s="217" t="s">
        <v>59</v>
      </c>
      <c r="U21" s="215" t="str">
        <f t="shared" si="5"/>
        <v>Reading At Grade Level</v>
      </c>
      <c r="V21" s="218"/>
      <c r="Y21" s="219">
        <f t="shared" si="6"/>
        <v>0.83333333333333337</v>
      </c>
    </row>
    <row r="22" spans="1:25">
      <c r="A22" s="165">
        <v>12</v>
      </c>
      <c r="B22" s="174">
        <v>117443230012</v>
      </c>
      <c r="C22" s="257" t="s">
        <v>68</v>
      </c>
      <c r="D22" s="259" t="s">
        <v>9</v>
      </c>
      <c r="E22" s="256">
        <v>46079</v>
      </c>
      <c r="F22" s="170">
        <v>10</v>
      </c>
      <c r="G22" s="171"/>
      <c r="H22" s="174">
        <v>10</v>
      </c>
      <c r="I22" s="193">
        <f t="shared" si="0"/>
        <v>30</v>
      </c>
      <c r="J22" s="194" t="str">
        <f t="shared" si="1"/>
        <v>Grade Ready</v>
      </c>
      <c r="K22" s="195">
        <v>1</v>
      </c>
      <c r="L22" s="196">
        <v>0</v>
      </c>
      <c r="M22" s="166">
        <f t="shared" si="2"/>
        <v>96</v>
      </c>
      <c r="N22" s="174">
        <v>2</v>
      </c>
      <c r="O22" s="174">
        <v>0</v>
      </c>
      <c r="P22" s="166">
        <f t="shared" si="3"/>
        <v>48</v>
      </c>
      <c r="Q22" s="213">
        <f t="shared" si="4"/>
        <v>1</v>
      </c>
      <c r="R22" s="174">
        <v>6</v>
      </c>
      <c r="S22" s="174">
        <v>5</v>
      </c>
      <c r="T22" s="214" t="s">
        <v>69</v>
      </c>
      <c r="U22" s="215" t="str">
        <f t="shared" si="5"/>
        <v>Reading At Grade Level</v>
      </c>
      <c r="V22" s="216"/>
      <c r="Y22" s="219">
        <f t="shared" si="6"/>
        <v>1</v>
      </c>
    </row>
    <row r="23" spans="1:25">
      <c r="A23" s="57">
        <v>13</v>
      </c>
      <c r="B23" s="173">
        <v>117441230029</v>
      </c>
      <c r="C23" s="258" t="s">
        <v>70</v>
      </c>
      <c r="D23" s="259" t="s">
        <v>9</v>
      </c>
      <c r="E23" s="256">
        <v>46082</v>
      </c>
      <c r="F23" s="172">
        <v>10</v>
      </c>
      <c r="G23" s="164"/>
      <c r="H23" s="173">
        <v>9</v>
      </c>
      <c r="I23" s="193">
        <f t="shared" si="0"/>
        <v>29</v>
      </c>
      <c r="J23" s="194" t="str">
        <f t="shared" si="1"/>
        <v>Grade Ready</v>
      </c>
      <c r="K23" s="197">
        <v>2</v>
      </c>
      <c r="L23" s="198">
        <v>20</v>
      </c>
      <c r="M23" s="166">
        <f t="shared" si="2"/>
        <v>74</v>
      </c>
      <c r="N23" s="173">
        <v>2</v>
      </c>
      <c r="O23" s="173">
        <v>0</v>
      </c>
      <c r="P23" s="166">
        <f t="shared" si="3"/>
        <v>37</v>
      </c>
      <c r="Q23" s="213">
        <f t="shared" si="4"/>
        <v>0.78723404255319152</v>
      </c>
      <c r="R23" s="173">
        <v>4</v>
      </c>
      <c r="S23" s="173">
        <v>5</v>
      </c>
      <c r="T23" s="217" t="s">
        <v>55</v>
      </c>
      <c r="U23" s="215" t="str">
        <f t="shared" si="5"/>
        <v>Transitioning Reader</v>
      </c>
      <c r="V23" s="218"/>
      <c r="Y23" s="219">
        <f t="shared" si="6"/>
        <v>0.66666666666666663</v>
      </c>
    </row>
    <row r="24" spans="1:25">
      <c r="A24" s="165">
        <v>14</v>
      </c>
      <c r="B24" s="174"/>
      <c r="C24" s="257"/>
      <c r="D24" s="259"/>
      <c r="E24" s="256"/>
      <c r="F24" s="170"/>
      <c r="G24" s="171"/>
      <c r="H24" s="174">
        <v>9</v>
      </c>
      <c r="I24" s="193" t="str">
        <f t="shared" si="0"/>
        <v/>
      </c>
      <c r="J24" s="194" t="str">
        <f t="shared" si="1"/>
        <v/>
      </c>
      <c r="K24" s="195"/>
      <c r="L24" s="196"/>
      <c r="M24" s="166" t="str">
        <f t="shared" si="2"/>
        <v/>
      </c>
      <c r="N24" s="174"/>
      <c r="O24" s="174"/>
      <c r="P24" s="166" t="str">
        <f t="shared" si="3"/>
        <v/>
      </c>
      <c r="Q24" s="213" t="str">
        <f t="shared" si="4"/>
        <v/>
      </c>
      <c r="R24" s="174"/>
      <c r="S24" s="174"/>
      <c r="T24" s="214"/>
      <c r="U24" s="215" t="str">
        <f t="shared" si="5"/>
        <v/>
      </c>
      <c r="V24" s="216"/>
      <c r="Y24" s="219" t="str">
        <f t="shared" si="6"/>
        <v/>
      </c>
    </row>
    <row r="25" spans="1:25">
      <c r="A25" s="57">
        <v>15</v>
      </c>
      <c r="B25" s="173"/>
      <c r="C25" s="258"/>
      <c r="D25" s="259"/>
      <c r="E25" s="256"/>
      <c r="F25" s="172"/>
      <c r="G25" s="164"/>
      <c r="H25" s="173">
        <v>6</v>
      </c>
      <c r="I25" s="193" t="str">
        <f t="shared" si="0"/>
        <v/>
      </c>
      <c r="J25" s="194" t="str">
        <f t="shared" si="1"/>
        <v/>
      </c>
      <c r="K25" s="197"/>
      <c r="L25" s="198"/>
      <c r="M25" s="166" t="str">
        <f t="shared" si="2"/>
        <v/>
      </c>
      <c r="N25" s="173"/>
      <c r="O25" s="173"/>
      <c r="P25" s="166" t="str">
        <f t="shared" si="3"/>
        <v/>
      </c>
      <c r="Q25" s="213" t="str">
        <f t="shared" si="4"/>
        <v/>
      </c>
      <c r="R25" s="173"/>
      <c r="S25" s="173"/>
      <c r="T25" s="217"/>
      <c r="U25" s="215" t="str">
        <f t="shared" si="5"/>
        <v/>
      </c>
      <c r="V25" s="218"/>
      <c r="Y25" s="219" t="str">
        <f t="shared" si="6"/>
        <v/>
      </c>
    </row>
    <row r="26" spans="1:25">
      <c r="A26" s="165">
        <v>16</v>
      </c>
      <c r="B26" s="174"/>
      <c r="C26" s="257"/>
      <c r="D26" s="259"/>
      <c r="E26" s="256"/>
      <c r="F26" s="170"/>
      <c r="G26" s="171"/>
      <c r="H26" s="174">
        <v>9</v>
      </c>
      <c r="I26" s="193" t="str">
        <f t="shared" si="0"/>
        <v/>
      </c>
      <c r="J26" s="194" t="str">
        <f t="shared" si="1"/>
        <v/>
      </c>
      <c r="K26" s="195"/>
      <c r="L26" s="196"/>
      <c r="M26" s="166" t="str">
        <f t="shared" si="2"/>
        <v/>
      </c>
      <c r="N26" s="174"/>
      <c r="O26" s="174"/>
      <c r="P26" s="166" t="str">
        <f t="shared" si="3"/>
        <v/>
      </c>
      <c r="Q26" s="213" t="str">
        <f t="shared" si="4"/>
        <v/>
      </c>
      <c r="R26" s="174"/>
      <c r="S26" s="174"/>
      <c r="T26" s="214"/>
      <c r="U26" s="215" t="str">
        <f t="shared" si="5"/>
        <v/>
      </c>
      <c r="V26" s="216"/>
      <c r="Y26" s="219" t="str">
        <f t="shared" si="6"/>
        <v/>
      </c>
    </row>
    <row r="27" spans="1:25">
      <c r="A27" s="57">
        <v>17</v>
      </c>
      <c r="B27" s="173"/>
      <c r="C27" s="258"/>
      <c r="D27" s="259"/>
      <c r="E27" s="256"/>
      <c r="F27" s="172"/>
      <c r="G27" s="164"/>
      <c r="H27" s="173">
        <v>10</v>
      </c>
      <c r="I27" s="193" t="str">
        <f t="shared" si="0"/>
        <v/>
      </c>
      <c r="J27" s="194" t="str">
        <f t="shared" si="1"/>
        <v/>
      </c>
      <c r="K27" s="197"/>
      <c r="L27" s="198"/>
      <c r="M27" s="166" t="str">
        <f t="shared" si="2"/>
        <v/>
      </c>
      <c r="N27" s="173"/>
      <c r="O27" s="173"/>
      <c r="P27" s="166" t="str">
        <f t="shared" si="3"/>
        <v/>
      </c>
      <c r="Q27" s="213" t="str">
        <f t="shared" si="4"/>
        <v/>
      </c>
      <c r="R27" s="173"/>
      <c r="S27" s="173"/>
      <c r="T27" s="217"/>
      <c r="U27" s="215" t="str">
        <f t="shared" si="5"/>
        <v/>
      </c>
      <c r="V27" s="218"/>
      <c r="Y27" s="219" t="str">
        <f t="shared" si="6"/>
        <v/>
      </c>
    </row>
    <row r="28" spans="1:25">
      <c r="A28" s="165">
        <v>18</v>
      </c>
      <c r="B28" s="174"/>
      <c r="C28" s="257"/>
      <c r="D28" s="259"/>
      <c r="E28" s="256"/>
      <c r="F28" s="170"/>
      <c r="G28" s="171"/>
      <c r="H28" s="174">
        <v>10</v>
      </c>
      <c r="I28" s="193" t="str">
        <f t="shared" si="0"/>
        <v/>
      </c>
      <c r="J28" s="194" t="str">
        <f t="shared" si="1"/>
        <v/>
      </c>
      <c r="K28" s="195"/>
      <c r="L28" s="196"/>
      <c r="M28" s="166" t="str">
        <f t="shared" si="2"/>
        <v/>
      </c>
      <c r="N28" s="174"/>
      <c r="O28" s="174"/>
      <c r="P28" s="166" t="str">
        <f t="shared" si="3"/>
        <v/>
      </c>
      <c r="Q28" s="213" t="str">
        <f t="shared" si="4"/>
        <v/>
      </c>
      <c r="R28" s="174"/>
      <c r="S28" s="174"/>
      <c r="T28" s="214"/>
      <c r="U28" s="215" t="str">
        <f t="shared" si="5"/>
        <v/>
      </c>
      <c r="V28" s="216"/>
      <c r="Y28" s="219" t="str">
        <f t="shared" si="6"/>
        <v/>
      </c>
    </row>
    <row r="29" spans="1:25">
      <c r="A29" s="57">
        <v>19</v>
      </c>
      <c r="B29" s="173"/>
      <c r="C29" s="258"/>
      <c r="D29" s="259"/>
      <c r="E29" s="256"/>
      <c r="F29" s="176"/>
      <c r="G29" s="164"/>
      <c r="H29" s="173">
        <v>8</v>
      </c>
      <c r="I29" s="193" t="str">
        <f t="shared" si="0"/>
        <v/>
      </c>
      <c r="J29" s="194" t="str">
        <f t="shared" si="1"/>
        <v/>
      </c>
      <c r="K29" s="197"/>
      <c r="L29" s="198"/>
      <c r="M29" s="166" t="str">
        <f t="shared" si="2"/>
        <v/>
      </c>
      <c r="N29" s="173"/>
      <c r="O29" s="173"/>
      <c r="P29" s="166" t="str">
        <f t="shared" si="3"/>
        <v/>
      </c>
      <c r="Q29" s="213" t="str">
        <f t="shared" si="4"/>
        <v/>
      </c>
      <c r="R29" s="173"/>
      <c r="S29" s="173"/>
      <c r="T29" s="217"/>
      <c r="U29" s="215" t="str">
        <f t="shared" si="5"/>
        <v/>
      </c>
      <c r="V29" s="218"/>
      <c r="Y29" s="219" t="str">
        <f t="shared" si="6"/>
        <v/>
      </c>
    </row>
    <row r="30" spans="1:25">
      <c r="A30" s="165">
        <v>20</v>
      </c>
      <c r="B30" s="174"/>
      <c r="C30" s="257"/>
      <c r="D30" s="259"/>
      <c r="E30" s="256"/>
      <c r="F30" s="177"/>
      <c r="G30" s="171"/>
      <c r="H30" s="174">
        <v>9</v>
      </c>
      <c r="I30" s="193" t="str">
        <f t="shared" si="0"/>
        <v/>
      </c>
      <c r="J30" s="194" t="str">
        <f t="shared" si="1"/>
        <v/>
      </c>
      <c r="K30" s="195"/>
      <c r="L30" s="196"/>
      <c r="M30" s="166" t="str">
        <f t="shared" si="2"/>
        <v/>
      </c>
      <c r="N30" s="174"/>
      <c r="O30" s="174"/>
      <c r="P30" s="166" t="str">
        <f t="shared" si="3"/>
        <v/>
      </c>
      <c r="Q30" s="213" t="str">
        <f t="shared" si="4"/>
        <v/>
      </c>
      <c r="R30" s="174"/>
      <c r="S30" s="174"/>
      <c r="T30" s="214"/>
      <c r="U30" s="215" t="str">
        <f t="shared" si="5"/>
        <v/>
      </c>
      <c r="V30" s="216"/>
      <c r="Y30" s="219" t="str">
        <f t="shared" si="6"/>
        <v/>
      </c>
    </row>
    <row r="31" spans="1:25">
      <c r="A31" s="57">
        <v>21</v>
      </c>
      <c r="B31" s="173"/>
      <c r="C31" s="258"/>
      <c r="D31" s="259"/>
      <c r="E31" s="256"/>
      <c r="F31" s="176"/>
      <c r="G31" s="164"/>
      <c r="H31" s="173">
        <v>7</v>
      </c>
      <c r="I31" s="193" t="str">
        <f t="shared" si="0"/>
        <v/>
      </c>
      <c r="J31" s="194" t="str">
        <f t="shared" si="1"/>
        <v/>
      </c>
      <c r="K31" s="197"/>
      <c r="L31" s="198"/>
      <c r="M31" s="166" t="str">
        <f t="shared" si="2"/>
        <v/>
      </c>
      <c r="N31" s="173"/>
      <c r="O31" s="173"/>
      <c r="P31" s="166" t="str">
        <f t="shared" si="3"/>
        <v/>
      </c>
      <c r="Q31" s="213" t="str">
        <f t="shared" si="4"/>
        <v/>
      </c>
      <c r="R31" s="173"/>
      <c r="S31" s="173"/>
      <c r="T31" s="217"/>
      <c r="U31" s="215" t="str">
        <f t="shared" si="5"/>
        <v/>
      </c>
      <c r="V31" s="218"/>
      <c r="Y31" s="219" t="str">
        <f t="shared" si="6"/>
        <v/>
      </c>
    </row>
    <row r="32" spans="1:25">
      <c r="A32" s="165">
        <v>22</v>
      </c>
      <c r="B32" s="174"/>
      <c r="C32" s="257"/>
      <c r="D32" s="259"/>
      <c r="E32" s="256"/>
      <c r="F32" s="177"/>
      <c r="G32" s="171"/>
      <c r="H32" s="174">
        <v>8</v>
      </c>
      <c r="I32" s="193" t="str">
        <f t="shared" si="0"/>
        <v/>
      </c>
      <c r="J32" s="194" t="str">
        <f t="shared" si="1"/>
        <v/>
      </c>
      <c r="K32" s="195"/>
      <c r="L32" s="196"/>
      <c r="M32" s="166" t="str">
        <f t="shared" si="2"/>
        <v/>
      </c>
      <c r="N32" s="174"/>
      <c r="O32" s="174"/>
      <c r="P32" s="166" t="str">
        <f t="shared" si="3"/>
        <v/>
      </c>
      <c r="Q32" s="213" t="str">
        <f t="shared" si="4"/>
        <v/>
      </c>
      <c r="R32" s="174"/>
      <c r="S32" s="174"/>
      <c r="T32" s="214"/>
      <c r="U32" s="215" t="str">
        <f t="shared" si="5"/>
        <v/>
      </c>
      <c r="V32" s="216"/>
      <c r="Y32" s="219" t="str">
        <f t="shared" si="6"/>
        <v/>
      </c>
    </row>
    <row r="33" spans="1:25">
      <c r="A33" s="57">
        <v>23</v>
      </c>
      <c r="B33" s="173"/>
      <c r="C33" s="258"/>
      <c r="D33" s="259"/>
      <c r="E33" s="256"/>
      <c r="F33" s="176"/>
      <c r="G33" s="164"/>
      <c r="H33" s="173">
        <v>9</v>
      </c>
      <c r="I33" s="193" t="str">
        <f t="shared" si="0"/>
        <v/>
      </c>
      <c r="J33" s="194" t="str">
        <f t="shared" si="1"/>
        <v/>
      </c>
      <c r="K33" s="197"/>
      <c r="L33" s="198"/>
      <c r="M33" s="166" t="str">
        <f t="shared" si="2"/>
        <v/>
      </c>
      <c r="N33" s="173"/>
      <c r="O33" s="173"/>
      <c r="P33" s="166" t="str">
        <f t="shared" si="3"/>
        <v/>
      </c>
      <c r="Q33" s="213" t="str">
        <f t="shared" si="4"/>
        <v/>
      </c>
      <c r="R33" s="173"/>
      <c r="S33" s="173"/>
      <c r="T33" s="217"/>
      <c r="U33" s="215" t="str">
        <f t="shared" si="5"/>
        <v/>
      </c>
      <c r="V33" s="218"/>
      <c r="Y33" s="219" t="str">
        <f t="shared" si="6"/>
        <v/>
      </c>
    </row>
    <row r="34" spans="1:25">
      <c r="A34" s="165">
        <v>24</v>
      </c>
      <c r="B34" s="174"/>
      <c r="C34" s="257"/>
      <c r="D34" s="259"/>
      <c r="E34" s="256"/>
      <c r="F34" s="177"/>
      <c r="G34" s="171"/>
      <c r="H34" s="174">
        <v>10</v>
      </c>
      <c r="I34" s="193" t="str">
        <f t="shared" si="0"/>
        <v/>
      </c>
      <c r="J34" s="194" t="str">
        <f t="shared" si="1"/>
        <v/>
      </c>
      <c r="K34" s="195"/>
      <c r="L34" s="196"/>
      <c r="M34" s="166" t="str">
        <f t="shared" si="2"/>
        <v/>
      </c>
      <c r="N34" s="174"/>
      <c r="O34" s="174"/>
      <c r="P34" s="166" t="str">
        <f t="shared" si="3"/>
        <v/>
      </c>
      <c r="Q34" s="213" t="str">
        <f t="shared" si="4"/>
        <v/>
      </c>
      <c r="R34" s="174"/>
      <c r="S34" s="174"/>
      <c r="T34" s="214"/>
      <c r="U34" s="215" t="str">
        <f t="shared" si="5"/>
        <v/>
      </c>
      <c r="V34" s="216"/>
      <c r="Y34" s="219" t="str">
        <f t="shared" si="6"/>
        <v/>
      </c>
    </row>
    <row r="35" spans="1:25">
      <c r="A35" s="57">
        <v>25</v>
      </c>
      <c r="B35" s="173"/>
      <c r="C35" s="258"/>
      <c r="D35" s="259"/>
      <c r="E35" s="256"/>
      <c r="F35" s="176"/>
      <c r="G35" s="164"/>
      <c r="H35" s="173">
        <v>10</v>
      </c>
      <c r="I35" s="193" t="str">
        <f t="shared" si="0"/>
        <v/>
      </c>
      <c r="J35" s="194" t="str">
        <f t="shared" si="1"/>
        <v/>
      </c>
      <c r="K35" s="197"/>
      <c r="L35" s="198"/>
      <c r="M35" s="166" t="str">
        <f t="shared" si="2"/>
        <v/>
      </c>
      <c r="N35" s="173"/>
      <c r="O35" s="173"/>
      <c r="P35" s="166" t="str">
        <f t="shared" si="3"/>
        <v/>
      </c>
      <c r="Q35" s="213" t="str">
        <f t="shared" si="4"/>
        <v/>
      </c>
      <c r="R35" s="173"/>
      <c r="S35" s="173"/>
      <c r="T35" s="217"/>
      <c r="U35" s="215" t="str">
        <f t="shared" si="5"/>
        <v/>
      </c>
      <c r="V35" s="218"/>
      <c r="Y35" s="219" t="str">
        <f t="shared" si="6"/>
        <v/>
      </c>
    </row>
    <row r="36" spans="1:25">
      <c r="A36" s="165">
        <v>26</v>
      </c>
      <c r="B36" s="174"/>
      <c r="C36" s="257"/>
      <c r="D36" s="259"/>
      <c r="E36" s="260"/>
      <c r="F36" s="177"/>
      <c r="G36" s="171"/>
      <c r="H36" s="174"/>
      <c r="I36" s="193" t="str">
        <f t="shared" si="0"/>
        <v/>
      </c>
      <c r="J36" s="194" t="str">
        <f t="shared" si="1"/>
        <v/>
      </c>
      <c r="K36" s="195"/>
      <c r="L36" s="196"/>
      <c r="M36" s="166" t="str">
        <f t="shared" si="2"/>
        <v/>
      </c>
      <c r="N36" s="174"/>
      <c r="O36" s="174"/>
      <c r="P36" s="166" t="str">
        <f t="shared" si="3"/>
        <v/>
      </c>
      <c r="Q36" s="213" t="str">
        <f t="shared" si="4"/>
        <v/>
      </c>
      <c r="R36" s="174"/>
      <c r="S36" s="174"/>
      <c r="T36" s="214"/>
      <c r="U36" s="215" t="str">
        <f t="shared" si="5"/>
        <v/>
      </c>
      <c r="V36" s="216"/>
      <c r="Y36" s="219" t="str">
        <f t="shared" si="6"/>
        <v/>
      </c>
    </row>
    <row r="37" spans="1:25">
      <c r="A37" s="57">
        <v>27</v>
      </c>
      <c r="B37" s="173"/>
      <c r="C37" s="258"/>
      <c r="D37" s="261"/>
      <c r="E37" s="262"/>
      <c r="F37" s="172"/>
      <c r="G37" s="164"/>
      <c r="H37" s="173"/>
      <c r="I37" s="193" t="str">
        <f t="shared" si="0"/>
        <v/>
      </c>
      <c r="J37" s="194" t="str">
        <f t="shared" si="1"/>
        <v/>
      </c>
      <c r="K37" s="197"/>
      <c r="L37" s="198"/>
      <c r="M37" s="166" t="str">
        <f t="shared" si="2"/>
        <v/>
      </c>
      <c r="N37" s="173"/>
      <c r="O37" s="173"/>
      <c r="P37" s="166" t="str">
        <f t="shared" si="3"/>
        <v/>
      </c>
      <c r="Q37" s="213" t="str">
        <f t="shared" si="4"/>
        <v/>
      </c>
      <c r="R37" s="173"/>
      <c r="S37" s="173"/>
      <c r="T37" s="217"/>
      <c r="U37" s="215" t="str">
        <f t="shared" si="5"/>
        <v/>
      </c>
      <c r="V37" s="218"/>
      <c r="Y37" s="219" t="str">
        <f t="shared" si="6"/>
        <v/>
      </c>
    </row>
    <row r="38" spans="1:25">
      <c r="A38" s="165">
        <v>28</v>
      </c>
      <c r="B38" s="174"/>
      <c r="C38" s="257"/>
      <c r="D38" s="259"/>
      <c r="E38" s="260"/>
      <c r="F38" s="170"/>
      <c r="G38" s="171"/>
      <c r="H38" s="174"/>
      <c r="I38" s="193" t="str">
        <f t="shared" si="0"/>
        <v/>
      </c>
      <c r="J38" s="194" t="str">
        <f t="shared" si="1"/>
        <v/>
      </c>
      <c r="K38" s="195"/>
      <c r="L38" s="196"/>
      <c r="M38" s="166" t="str">
        <f t="shared" si="2"/>
        <v/>
      </c>
      <c r="N38" s="174"/>
      <c r="O38" s="174"/>
      <c r="P38" s="166" t="str">
        <f t="shared" si="3"/>
        <v/>
      </c>
      <c r="Q38" s="213" t="str">
        <f t="shared" si="4"/>
        <v/>
      </c>
      <c r="R38" s="174"/>
      <c r="S38" s="174"/>
      <c r="T38" s="214"/>
      <c r="U38" s="215" t="str">
        <f t="shared" si="5"/>
        <v/>
      </c>
      <c r="V38" s="216"/>
      <c r="Y38" s="219" t="str">
        <f t="shared" si="6"/>
        <v/>
      </c>
    </row>
    <row r="39" spans="1:25">
      <c r="A39" s="57">
        <v>29</v>
      </c>
      <c r="B39" s="173"/>
      <c r="C39" s="258"/>
      <c r="D39" s="261"/>
      <c r="E39" s="262"/>
      <c r="F39" s="172"/>
      <c r="G39" s="164"/>
      <c r="H39" s="173"/>
      <c r="I39" s="193" t="str">
        <f t="shared" si="0"/>
        <v/>
      </c>
      <c r="J39" s="194" t="str">
        <f t="shared" si="1"/>
        <v/>
      </c>
      <c r="K39" s="197"/>
      <c r="L39" s="198"/>
      <c r="M39" s="166" t="str">
        <f t="shared" si="2"/>
        <v/>
      </c>
      <c r="N39" s="173"/>
      <c r="O39" s="173"/>
      <c r="P39" s="166" t="str">
        <f t="shared" si="3"/>
        <v/>
      </c>
      <c r="Q39" s="213" t="str">
        <f t="shared" si="4"/>
        <v/>
      </c>
      <c r="R39" s="173"/>
      <c r="S39" s="173"/>
      <c r="T39" s="217"/>
      <c r="U39" s="215" t="str">
        <f t="shared" si="5"/>
        <v/>
      </c>
      <c r="V39" s="218"/>
      <c r="Y39" s="219" t="str">
        <f t="shared" si="6"/>
        <v/>
      </c>
    </row>
    <row r="40" spans="1:25">
      <c r="A40" s="165">
        <v>30</v>
      </c>
      <c r="B40" s="174"/>
      <c r="C40" s="257"/>
      <c r="D40" s="259"/>
      <c r="E40" s="260"/>
      <c r="F40" s="170"/>
      <c r="G40" s="171"/>
      <c r="H40" s="174"/>
      <c r="I40" s="193" t="str">
        <f t="shared" si="0"/>
        <v/>
      </c>
      <c r="J40" s="194" t="str">
        <f t="shared" si="1"/>
        <v/>
      </c>
      <c r="K40" s="195"/>
      <c r="L40" s="196"/>
      <c r="M40" s="166" t="str">
        <f t="shared" si="2"/>
        <v/>
      </c>
      <c r="N40" s="174"/>
      <c r="O40" s="174"/>
      <c r="P40" s="166" t="str">
        <f t="shared" si="3"/>
        <v/>
      </c>
      <c r="Q40" s="213" t="str">
        <f t="shared" si="4"/>
        <v/>
      </c>
      <c r="R40" s="174"/>
      <c r="S40" s="174"/>
      <c r="T40" s="214"/>
      <c r="U40" s="215" t="str">
        <f t="shared" si="5"/>
        <v/>
      </c>
      <c r="V40" s="216"/>
      <c r="Y40" s="219" t="str">
        <f t="shared" si="6"/>
        <v/>
      </c>
    </row>
    <row r="41" spans="1:25">
      <c r="A41" s="57">
        <v>31</v>
      </c>
      <c r="B41" s="173"/>
      <c r="C41" s="258"/>
      <c r="D41" s="261"/>
      <c r="E41" s="262"/>
      <c r="F41" s="172"/>
      <c r="G41" s="164"/>
      <c r="H41" s="173"/>
      <c r="I41" s="193" t="str">
        <f t="shared" si="0"/>
        <v/>
      </c>
      <c r="J41" s="194" t="str">
        <f t="shared" si="1"/>
        <v/>
      </c>
      <c r="K41" s="197"/>
      <c r="L41" s="198"/>
      <c r="M41" s="166" t="str">
        <f t="shared" si="2"/>
        <v/>
      </c>
      <c r="N41" s="173"/>
      <c r="O41" s="173"/>
      <c r="P41" s="166" t="str">
        <f t="shared" si="3"/>
        <v/>
      </c>
      <c r="Q41" s="213" t="str">
        <f t="shared" si="4"/>
        <v/>
      </c>
      <c r="R41" s="173"/>
      <c r="S41" s="173"/>
      <c r="T41" s="217"/>
      <c r="U41" s="215" t="str">
        <f t="shared" si="5"/>
        <v/>
      </c>
      <c r="V41" s="218"/>
      <c r="Y41" s="219" t="str">
        <f t="shared" si="6"/>
        <v/>
      </c>
    </row>
    <row r="42" spans="1:25">
      <c r="A42" s="165">
        <v>32</v>
      </c>
      <c r="B42" s="174"/>
      <c r="C42" s="257"/>
      <c r="D42" s="259"/>
      <c r="E42" s="260"/>
      <c r="F42" s="170"/>
      <c r="G42" s="171"/>
      <c r="H42" s="174"/>
      <c r="I42" s="193" t="str">
        <f t="shared" si="0"/>
        <v/>
      </c>
      <c r="J42" s="194" t="str">
        <f t="shared" si="1"/>
        <v/>
      </c>
      <c r="K42" s="195"/>
      <c r="L42" s="196"/>
      <c r="M42" s="166" t="str">
        <f t="shared" si="2"/>
        <v/>
      </c>
      <c r="N42" s="174"/>
      <c r="O42" s="174"/>
      <c r="P42" s="166" t="str">
        <f t="shared" si="3"/>
        <v/>
      </c>
      <c r="Q42" s="213" t="str">
        <f t="shared" si="4"/>
        <v/>
      </c>
      <c r="R42" s="174"/>
      <c r="S42" s="174"/>
      <c r="T42" s="214"/>
      <c r="U42" s="215" t="str">
        <f t="shared" si="5"/>
        <v/>
      </c>
      <c r="V42" s="216"/>
      <c r="Y42" s="219" t="str">
        <f t="shared" si="6"/>
        <v/>
      </c>
    </row>
    <row r="43" spans="1:25">
      <c r="A43" s="57">
        <v>33</v>
      </c>
      <c r="B43" s="173"/>
      <c r="C43" s="258"/>
      <c r="D43" s="261"/>
      <c r="E43" s="262"/>
      <c r="F43" s="172"/>
      <c r="G43" s="164"/>
      <c r="H43" s="173"/>
      <c r="I43" s="193" t="str">
        <f t="shared" si="0"/>
        <v/>
      </c>
      <c r="J43" s="194" t="str">
        <f t="shared" si="1"/>
        <v/>
      </c>
      <c r="K43" s="197"/>
      <c r="L43" s="198"/>
      <c r="M43" s="166" t="str">
        <f t="shared" si="2"/>
        <v/>
      </c>
      <c r="N43" s="173"/>
      <c r="O43" s="173"/>
      <c r="P43" s="166" t="str">
        <f t="shared" si="3"/>
        <v/>
      </c>
      <c r="Q43" s="213" t="str">
        <f t="shared" si="4"/>
        <v/>
      </c>
      <c r="R43" s="173"/>
      <c r="S43" s="173"/>
      <c r="T43" s="217"/>
      <c r="U43" s="215" t="str">
        <f t="shared" si="5"/>
        <v/>
      </c>
      <c r="V43" s="218"/>
      <c r="Y43" s="219" t="str">
        <f t="shared" si="6"/>
        <v/>
      </c>
    </row>
    <row r="44" spans="1:25">
      <c r="A44" s="165">
        <v>34</v>
      </c>
      <c r="B44" s="174"/>
      <c r="C44" s="257"/>
      <c r="D44" s="259"/>
      <c r="E44" s="260"/>
      <c r="F44" s="170"/>
      <c r="G44" s="171"/>
      <c r="H44" s="174"/>
      <c r="I44" s="193" t="str">
        <f t="shared" si="0"/>
        <v/>
      </c>
      <c r="J44" s="194" t="str">
        <f t="shared" si="1"/>
        <v/>
      </c>
      <c r="K44" s="195"/>
      <c r="L44" s="196"/>
      <c r="M44" s="166" t="str">
        <f t="shared" si="2"/>
        <v/>
      </c>
      <c r="N44" s="174"/>
      <c r="O44" s="174"/>
      <c r="P44" s="166" t="str">
        <f t="shared" si="3"/>
        <v/>
      </c>
      <c r="Q44" s="213" t="str">
        <f t="shared" si="4"/>
        <v/>
      </c>
      <c r="R44" s="174"/>
      <c r="S44" s="174"/>
      <c r="T44" s="214"/>
      <c r="U44" s="215" t="str">
        <f t="shared" si="5"/>
        <v/>
      </c>
      <c r="V44" s="216"/>
      <c r="Y44" s="219" t="str">
        <f t="shared" si="6"/>
        <v/>
      </c>
    </row>
    <row r="45" spans="1:25">
      <c r="A45" s="57">
        <v>35</v>
      </c>
      <c r="B45" s="173"/>
      <c r="C45" s="258"/>
      <c r="D45" s="261"/>
      <c r="E45" s="262"/>
      <c r="F45" s="172"/>
      <c r="G45" s="164"/>
      <c r="H45" s="173"/>
      <c r="I45" s="193" t="str">
        <f t="shared" si="0"/>
        <v/>
      </c>
      <c r="J45" s="194" t="str">
        <f t="shared" si="1"/>
        <v/>
      </c>
      <c r="K45" s="197"/>
      <c r="L45" s="198"/>
      <c r="M45" s="166" t="str">
        <f t="shared" si="2"/>
        <v/>
      </c>
      <c r="N45" s="173"/>
      <c r="O45" s="173"/>
      <c r="P45" s="166" t="str">
        <f t="shared" si="3"/>
        <v/>
      </c>
      <c r="Q45" s="213" t="str">
        <f t="shared" si="4"/>
        <v/>
      </c>
      <c r="R45" s="173"/>
      <c r="S45" s="173"/>
      <c r="T45" s="217"/>
      <c r="U45" s="215" t="str">
        <f t="shared" si="5"/>
        <v/>
      </c>
      <c r="V45" s="218"/>
      <c r="Y45" s="219" t="str">
        <f t="shared" si="6"/>
        <v/>
      </c>
    </row>
    <row r="46" spans="1:25">
      <c r="A46" s="165">
        <v>36</v>
      </c>
      <c r="B46" s="174"/>
      <c r="C46" s="257"/>
      <c r="D46" s="259"/>
      <c r="E46" s="260"/>
      <c r="F46" s="170"/>
      <c r="G46" s="171"/>
      <c r="H46" s="174"/>
      <c r="I46" s="193" t="str">
        <f t="shared" si="0"/>
        <v/>
      </c>
      <c r="J46" s="194" t="str">
        <f t="shared" si="1"/>
        <v/>
      </c>
      <c r="K46" s="195"/>
      <c r="L46" s="196"/>
      <c r="M46" s="166" t="str">
        <f t="shared" si="2"/>
        <v/>
      </c>
      <c r="N46" s="174"/>
      <c r="O46" s="174"/>
      <c r="P46" s="166" t="str">
        <f t="shared" si="3"/>
        <v/>
      </c>
      <c r="Q46" s="213" t="str">
        <f t="shared" si="4"/>
        <v/>
      </c>
      <c r="R46" s="174"/>
      <c r="S46" s="174"/>
      <c r="T46" s="214"/>
      <c r="U46" s="215" t="str">
        <f t="shared" si="5"/>
        <v/>
      </c>
      <c r="V46" s="216"/>
      <c r="Y46" s="219" t="str">
        <f t="shared" si="6"/>
        <v/>
      </c>
    </row>
    <row r="47" spans="1:25">
      <c r="A47" s="57">
        <v>37</v>
      </c>
      <c r="B47" s="173"/>
      <c r="C47" s="258"/>
      <c r="D47" s="261"/>
      <c r="E47" s="262"/>
      <c r="F47" s="172"/>
      <c r="G47" s="164"/>
      <c r="H47" s="173"/>
      <c r="I47" s="193" t="str">
        <f t="shared" si="0"/>
        <v/>
      </c>
      <c r="J47" s="194" t="str">
        <f t="shared" si="1"/>
        <v/>
      </c>
      <c r="K47" s="197"/>
      <c r="L47" s="198"/>
      <c r="M47" s="166" t="str">
        <f t="shared" si="2"/>
        <v/>
      </c>
      <c r="N47" s="173"/>
      <c r="O47" s="173"/>
      <c r="P47" s="166" t="str">
        <f t="shared" si="3"/>
        <v/>
      </c>
      <c r="Q47" s="213" t="str">
        <f t="shared" si="4"/>
        <v/>
      </c>
      <c r="R47" s="173"/>
      <c r="S47" s="173"/>
      <c r="T47" s="217"/>
      <c r="U47" s="215" t="str">
        <f t="shared" si="5"/>
        <v/>
      </c>
      <c r="V47" s="218"/>
      <c r="Y47" s="219" t="str">
        <f t="shared" si="6"/>
        <v/>
      </c>
    </row>
    <row r="48" spans="1:25">
      <c r="A48" s="165">
        <v>38</v>
      </c>
      <c r="B48" s="174"/>
      <c r="C48" s="257"/>
      <c r="D48" s="259"/>
      <c r="E48" s="260"/>
      <c r="F48" s="170"/>
      <c r="G48" s="171"/>
      <c r="H48" s="174"/>
      <c r="I48" s="193" t="str">
        <f t="shared" si="0"/>
        <v/>
      </c>
      <c r="J48" s="194" t="str">
        <f t="shared" si="1"/>
        <v/>
      </c>
      <c r="K48" s="195"/>
      <c r="L48" s="196"/>
      <c r="M48" s="166" t="str">
        <f t="shared" si="2"/>
        <v/>
      </c>
      <c r="N48" s="174"/>
      <c r="O48" s="174"/>
      <c r="P48" s="166" t="str">
        <f t="shared" si="3"/>
        <v/>
      </c>
      <c r="Q48" s="213" t="str">
        <f t="shared" si="4"/>
        <v/>
      </c>
      <c r="R48" s="174"/>
      <c r="S48" s="174"/>
      <c r="T48" s="214"/>
      <c r="U48" s="215" t="str">
        <f t="shared" si="5"/>
        <v/>
      </c>
      <c r="V48" s="216"/>
      <c r="Y48" s="219" t="str">
        <f t="shared" si="6"/>
        <v/>
      </c>
    </row>
    <row r="49" spans="1:25">
      <c r="A49" s="57">
        <v>39</v>
      </c>
      <c r="B49" s="173"/>
      <c r="C49" s="258"/>
      <c r="D49" s="261"/>
      <c r="E49" s="262"/>
      <c r="F49" s="172"/>
      <c r="G49" s="164"/>
      <c r="H49" s="173"/>
      <c r="I49" s="193" t="str">
        <f t="shared" si="0"/>
        <v/>
      </c>
      <c r="J49" s="194" t="str">
        <f t="shared" si="1"/>
        <v/>
      </c>
      <c r="K49" s="197"/>
      <c r="L49" s="198"/>
      <c r="M49" s="166" t="str">
        <f t="shared" si="2"/>
        <v/>
      </c>
      <c r="N49" s="173"/>
      <c r="O49" s="173"/>
      <c r="P49" s="166" t="str">
        <f t="shared" si="3"/>
        <v/>
      </c>
      <c r="Q49" s="213" t="str">
        <f t="shared" si="4"/>
        <v/>
      </c>
      <c r="R49" s="173"/>
      <c r="S49" s="173"/>
      <c r="T49" s="217"/>
      <c r="U49" s="215" t="str">
        <f t="shared" si="5"/>
        <v/>
      </c>
      <c r="V49" s="218"/>
      <c r="Y49" s="219" t="str">
        <f t="shared" si="6"/>
        <v/>
      </c>
    </row>
    <row r="50" spans="1:25">
      <c r="A50" s="165">
        <v>40</v>
      </c>
      <c r="B50" s="174"/>
      <c r="C50" s="257"/>
      <c r="D50" s="259"/>
      <c r="E50" s="260"/>
      <c r="F50" s="170"/>
      <c r="G50" s="171"/>
      <c r="H50" s="174"/>
      <c r="I50" s="193" t="str">
        <f t="shared" si="0"/>
        <v/>
      </c>
      <c r="J50" s="194" t="str">
        <f t="shared" si="1"/>
        <v/>
      </c>
      <c r="K50" s="195"/>
      <c r="L50" s="196"/>
      <c r="M50" s="166" t="str">
        <f t="shared" si="2"/>
        <v/>
      </c>
      <c r="N50" s="174"/>
      <c r="O50" s="174"/>
      <c r="P50" s="166" t="str">
        <f t="shared" si="3"/>
        <v/>
      </c>
      <c r="Q50" s="213" t="str">
        <f t="shared" si="4"/>
        <v/>
      </c>
      <c r="R50" s="174"/>
      <c r="S50" s="174"/>
      <c r="T50" s="214"/>
      <c r="U50" s="215" t="str">
        <f t="shared" si="5"/>
        <v/>
      </c>
      <c r="V50" s="216"/>
      <c r="Y50" s="219" t="str">
        <f t="shared" si="6"/>
        <v/>
      </c>
    </row>
    <row r="51" spans="1:25">
      <c r="A51" s="57">
        <v>41</v>
      </c>
      <c r="B51" s="173"/>
      <c r="C51" s="258"/>
      <c r="D51" s="261"/>
      <c r="E51" s="262"/>
      <c r="F51" s="172"/>
      <c r="G51" s="164"/>
      <c r="H51" s="173"/>
      <c r="I51" s="193" t="str">
        <f t="shared" si="0"/>
        <v/>
      </c>
      <c r="J51" s="194" t="str">
        <f t="shared" si="1"/>
        <v/>
      </c>
      <c r="K51" s="197"/>
      <c r="L51" s="198"/>
      <c r="M51" s="166" t="str">
        <f t="shared" si="2"/>
        <v/>
      </c>
      <c r="N51" s="173"/>
      <c r="O51" s="173"/>
      <c r="P51" s="166" t="str">
        <f t="shared" si="3"/>
        <v/>
      </c>
      <c r="Q51" s="213" t="str">
        <f t="shared" si="4"/>
        <v/>
      </c>
      <c r="R51" s="173"/>
      <c r="S51" s="173"/>
      <c r="T51" s="217"/>
      <c r="U51" s="215" t="str">
        <f t="shared" si="5"/>
        <v/>
      </c>
      <c r="V51" s="218"/>
      <c r="Y51" s="219" t="str">
        <f t="shared" si="6"/>
        <v/>
      </c>
    </row>
    <row r="52" spans="1:25">
      <c r="A52" s="165">
        <v>42</v>
      </c>
      <c r="B52" s="174"/>
      <c r="C52" s="257"/>
      <c r="D52" s="259"/>
      <c r="E52" s="260"/>
      <c r="F52" s="170"/>
      <c r="G52" s="171"/>
      <c r="H52" s="174"/>
      <c r="I52" s="193" t="str">
        <f t="shared" si="0"/>
        <v/>
      </c>
      <c r="J52" s="194" t="str">
        <f t="shared" si="1"/>
        <v/>
      </c>
      <c r="K52" s="195"/>
      <c r="L52" s="196"/>
      <c r="M52" s="166" t="str">
        <f t="shared" si="2"/>
        <v/>
      </c>
      <c r="N52" s="174"/>
      <c r="O52" s="174"/>
      <c r="P52" s="166" t="str">
        <f t="shared" si="3"/>
        <v/>
      </c>
      <c r="Q52" s="213" t="str">
        <f t="shared" si="4"/>
        <v/>
      </c>
      <c r="R52" s="174"/>
      <c r="S52" s="174"/>
      <c r="T52" s="214"/>
      <c r="U52" s="215" t="str">
        <f t="shared" si="5"/>
        <v/>
      </c>
      <c r="V52" s="216"/>
      <c r="Y52" s="219" t="str">
        <f t="shared" si="6"/>
        <v/>
      </c>
    </row>
    <row r="53" spans="1:25">
      <c r="A53" s="57">
        <v>43</v>
      </c>
      <c r="B53" s="173"/>
      <c r="C53" s="258"/>
      <c r="D53" s="261"/>
      <c r="E53" s="262"/>
      <c r="F53" s="172"/>
      <c r="G53" s="164"/>
      <c r="H53" s="173"/>
      <c r="I53" s="193" t="str">
        <f t="shared" si="0"/>
        <v/>
      </c>
      <c r="J53" s="194" t="str">
        <f t="shared" si="1"/>
        <v/>
      </c>
      <c r="K53" s="197"/>
      <c r="L53" s="198"/>
      <c r="M53" s="166" t="str">
        <f t="shared" si="2"/>
        <v/>
      </c>
      <c r="N53" s="173"/>
      <c r="O53" s="173"/>
      <c r="P53" s="166" t="str">
        <f t="shared" si="3"/>
        <v/>
      </c>
      <c r="Q53" s="213" t="str">
        <f t="shared" si="4"/>
        <v/>
      </c>
      <c r="R53" s="173"/>
      <c r="S53" s="173"/>
      <c r="T53" s="217"/>
      <c r="U53" s="215" t="str">
        <f t="shared" si="5"/>
        <v/>
      </c>
      <c r="V53" s="218"/>
      <c r="Y53" s="219" t="str">
        <f t="shared" si="6"/>
        <v/>
      </c>
    </row>
    <row r="54" spans="1:25">
      <c r="A54" s="165">
        <v>44</v>
      </c>
      <c r="B54" s="174"/>
      <c r="C54" s="257"/>
      <c r="D54" s="259"/>
      <c r="E54" s="260"/>
      <c r="F54" s="170"/>
      <c r="G54" s="171"/>
      <c r="H54" s="174"/>
      <c r="I54" s="193" t="str">
        <f t="shared" si="0"/>
        <v/>
      </c>
      <c r="J54" s="194" t="str">
        <f t="shared" si="1"/>
        <v/>
      </c>
      <c r="K54" s="195"/>
      <c r="L54" s="196"/>
      <c r="M54" s="166" t="str">
        <f t="shared" si="2"/>
        <v/>
      </c>
      <c r="N54" s="174"/>
      <c r="O54" s="174"/>
      <c r="P54" s="166" t="str">
        <f t="shared" si="3"/>
        <v/>
      </c>
      <c r="Q54" s="213" t="str">
        <f t="shared" si="4"/>
        <v/>
      </c>
      <c r="R54" s="174"/>
      <c r="S54" s="174"/>
      <c r="T54" s="214"/>
      <c r="U54" s="215" t="str">
        <f t="shared" si="5"/>
        <v/>
      </c>
      <c r="V54" s="216"/>
      <c r="Y54" s="219" t="str">
        <f t="shared" si="6"/>
        <v/>
      </c>
    </row>
    <row r="55" spans="1:25">
      <c r="A55" s="57">
        <v>45</v>
      </c>
      <c r="B55" s="173"/>
      <c r="C55" s="258"/>
      <c r="D55" s="261"/>
      <c r="E55" s="262"/>
      <c r="F55" s="172"/>
      <c r="G55" s="164"/>
      <c r="H55" s="173"/>
      <c r="I55" s="193" t="str">
        <f t="shared" si="0"/>
        <v/>
      </c>
      <c r="J55" s="194" t="str">
        <f t="shared" si="1"/>
        <v/>
      </c>
      <c r="K55" s="197"/>
      <c r="L55" s="198"/>
      <c r="M55" s="166" t="str">
        <f t="shared" si="2"/>
        <v/>
      </c>
      <c r="N55" s="173"/>
      <c r="O55" s="173"/>
      <c r="P55" s="166" t="str">
        <f t="shared" si="3"/>
        <v/>
      </c>
      <c r="Q55" s="213" t="str">
        <f t="shared" si="4"/>
        <v/>
      </c>
      <c r="R55" s="173"/>
      <c r="S55" s="173"/>
      <c r="T55" s="217"/>
      <c r="U55" s="215" t="str">
        <f t="shared" si="5"/>
        <v/>
      </c>
      <c r="V55" s="218"/>
      <c r="Y55" s="219" t="str">
        <f t="shared" si="6"/>
        <v/>
      </c>
    </row>
    <row r="56" spans="1:25">
      <c r="A56" s="165">
        <v>46</v>
      </c>
      <c r="B56" s="174"/>
      <c r="C56" s="257"/>
      <c r="D56" s="259"/>
      <c r="E56" s="260"/>
      <c r="F56" s="170"/>
      <c r="G56" s="171"/>
      <c r="H56" s="174"/>
      <c r="I56" s="193" t="str">
        <f t="shared" si="0"/>
        <v/>
      </c>
      <c r="J56" s="194" t="str">
        <f t="shared" si="1"/>
        <v/>
      </c>
      <c r="K56" s="195"/>
      <c r="L56" s="196"/>
      <c r="M56" s="166" t="str">
        <f t="shared" si="2"/>
        <v/>
      </c>
      <c r="N56" s="174"/>
      <c r="O56" s="174"/>
      <c r="P56" s="166" t="str">
        <f t="shared" si="3"/>
        <v/>
      </c>
      <c r="Q56" s="213" t="str">
        <f t="shared" si="4"/>
        <v/>
      </c>
      <c r="R56" s="174"/>
      <c r="S56" s="174"/>
      <c r="T56" s="214"/>
      <c r="U56" s="215" t="str">
        <f t="shared" si="5"/>
        <v/>
      </c>
      <c r="V56" s="216"/>
      <c r="Y56" s="219" t="str">
        <f t="shared" si="6"/>
        <v/>
      </c>
    </row>
    <row r="57" spans="1:25">
      <c r="A57" s="57">
        <v>47</v>
      </c>
      <c r="B57" s="173"/>
      <c r="C57" s="258"/>
      <c r="D57" s="261"/>
      <c r="E57" s="262"/>
      <c r="F57" s="172"/>
      <c r="G57" s="164"/>
      <c r="H57" s="173"/>
      <c r="I57" s="193" t="str">
        <f t="shared" si="0"/>
        <v/>
      </c>
      <c r="J57" s="194" t="str">
        <f t="shared" si="1"/>
        <v/>
      </c>
      <c r="K57" s="197"/>
      <c r="L57" s="198"/>
      <c r="M57" s="166" t="str">
        <f t="shared" si="2"/>
        <v/>
      </c>
      <c r="N57" s="173"/>
      <c r="O57" s="173"/>
      <c r="P57" s="166" t="str">
        <f t="shared" si="3"/>
        <v/>
      </c>
      <c r="Q57" s="213" t="str">
        <f t="shared" si="4"/>
        <v/>
      </c>
      <c r="R57" s="173"/>
      <c r="S57" s="173"/>
      <c r="T57" s="217"/>
      <c r="U57" s="215" t="str">
        <f t="shared" si="5"/>
        <v/>
      </c>
      <c r="V57" s="218"/>
      <c r="Y57" s="219" t="str">
        <f t="shared" si="6"/>
        <v/>
      </c>
    </row>
    <row r="58" spans="1:25">
      <c r="A58" s="165">
        <v>48</v>
      </c>
      <c r="B58" s="174"/>
      <c r="C58" s="257"/>
      <c r="D58" s="259"/>
      <c r="E58" s="260"/>
      <c r="F58" s="170"/>
      <c r="G58" s="171"/>
      <c r="H58" s="174"/>
      <c r="I58" s="193" t="str">
        <f t="shared" si="0"/>
        <v/>
      </c>
      <c r="J58" s="194" t="str">
        <f t="shared" si="1"/>
        <v/>
      </c>
      <c r="K58" s="195"/>
      <c r="L58" s="196"/>
      <c r="M58" s="166" t="str">
        <f t="shared" si="2"/>
        <v/>
      </c>
      <c r="N58" s="174"/>
      <c r="O58" s="174"/>
      <c r="P58" s="166" t="str">
        <f t="shared" si="3"/>
        <v/>
      </c>
      <c r="Q58" s="213" t="str">
        <f t="shared" si="4"/>
        <v/>
      </c>
      <c r="R58" s="174"/>
      <c r="S58" s="174"/>
      <c r="T58" s="214"/>
      <c r="U58" s="215" t="str">
        <f t="shared" si="5"/>
        <v/>
      </c>
      <c r="V58" s="216"/>
      <c r="Y58" s="219" t="str">
        <f t="shared" si="6"/>
        <v/>
      </c>
    </row>
    <row r="59" spans="1:25">
      <c r="A59" s="57">
        <v>49</v>
      </c>
      <c r="B59" s="173"/>
      <c r="C59" s="258"/>
      <c r="D59" s="261"/>
      <c r="E59" s="262"/>
      <c r="F59" s="172"/>
      <c r="G59" s="164"/>
      <c r="H59" s="173"/>
      <c r="I59" s="193" t="str">
        <f t="shared" si="0"/>
        <v/>
      </c>
      <c r="J59" s="194" t="str">
        <f t="shared" si="1"/>
        <v/>
      </c>
      <c r="K59" s="197"/>
      <c r="L59" s="198"/>
      <c r="M59" s="166" t="str">
        <f t="shared" si="2"/>
        <v/>
      </c>
      <c r="N59" s="173"/>
      <c r="O59" s="173"/>
      <c r="P59" s="166" t="str">
        <f t="shared" si="3"/>
        <v/>
      </c>
      <c r="Q59" s="213" t="str">
        <f t="shared" si="4"/>
        <v/>
      </c>
      <c r="R59" s="173"/>
      <c r="S59" s="173"/>
      <c r="T59" s="217"/>
      <c r="U59" s="215" t="str">
        <f t="shared" si="5"/>
        <v/>
      </c>
      <c r="V59" s="218"/>
      <c r="Y59" s="219" t="str">
        <f t="shared" si="6"/>
        <v/>
      </c>
    </row>
    <row r="60" spans="1:25">
      <c r="A60" s="165">
        <v>50</v>
      </c>
      <c r="B60" s="174"/>
      <c r="C60" s="257"/>
      <c r="D60" s="259"/>
      <c r="E60" s="260"/>
      <c r="F60" s="170"/>
      <c r="G60" s="171"/>
      <c r="H60" s="174"/>
      <c r="I60" s="193" t="str">
        <f t="shared" si="0"/>
        <v/>
      </c>
      <c r="J60" s="194" t="str">
        <f t="shared" si="1"/>
        <v/>
      </c>
      <c r="K60" s="195"/>
      <c r="L60" s="196"/>
      <c r="M60" s="166" t="str">
        <f t="shared" si="2"/>
        <v/>
      </c>
      <c r="N60" s="174"/>
      <c r="O60" s="174"/>
      <c r="P60" s="166" t="str">
        <f t="shared" si="3"/>
        <v/>
      </c>
      <c r="Q60" s="213" t="str">
        <f t="shared" si="4"/>
        <v/>
      </c>
      <c r="R60" s="174"/>
      <c r="S60" s="174"/>
      <c r="T60" s="214"/>
      <c r="U60" s="215" t="str">
        <f t="shared" si="5"/>
        <v/>
      </c>
      <c r="V60" s="216"/>
      <c r="Y60" s="219" t="str">
        <f t="shared" si="6"/>
        <v/>
      </c>
    </row>
    <row r="61" spans="1:25">
      <c r="A61" s="57">
        <v>51</v>
      </c>
      <c r="B61" s="173"/>
      <c r="C61" s="258"/>
      <c r="D61" s="261"/>
      <c r="E61" s="262"/>
      <c r="F61" s="172"/>
      <c r="G61" s="164"/>
      <c r="H61" s="173"/>
      <c r="I61" s="193" t="str">
        <f t="shared" si="0"/>
        <v/>
      </c>
      <c r="J61" s="194" t="str">
        <f t="shared" si="1"/>
        <v/>
      </c>
      <c r="K61" s="197"/>
      <c r="L61" s="198"/>
      <c r="M61" s="166" t="str">
        <f t="shared" si="2"/>
        <v/>
      </c>
      <c r="N61" s="173"/>
      <c r="O61" s="173"/>
      <c r="P61" s="166" t="str">
        <f t="shared" si="3"/>
        <v/>
      </c>
      <c r="Q61" s="213" t="str">
        <f t="shared" si="4"/>
        <v/>
      </c>
      <c r="R61" s="173"/>
      <c r="S61" s="173"/>
      <c r="T61" s="217"/>
      <c r="U61" s="215" t="str">
        <f t="shared" si="5"/>
        <v/>
      </c>
      <c r="V61" s="218"/>
      <c r="Y61" s="219" t="str">
        <f t="shared" si="6"/>
        <v/>
      </c>
    </row>
    <row r="62" spans="1:25">
      <c r="A62" s="165">
        <v>52</v>
      </c>
      <c r="B62" s="174"/>
      <c r="C62" s="257"/>
      <c r="D62" s="259"/>
      <c r="E62" s="260"/>
      <c r="F62" s="170"/>
      <c r="G62" s="171"/>
      <c r="H62" s="174"/>
      <c r="I62" s="193" t="str">
        <f t="shared" si="0"/>
        <v/>
      </c>
      <c r="J62" s="194" t="str">
        <f t="shared" si="1"/>
        <v/>
      </c>
      <c r="K62" s="195"/>
      <c r="L62" s="196"/>
      <c r="M62" s="166" t="str">
        <f t="shared" si="2"/>
        <v/>
      </c>
      <c r="N62" s="174"/>
      <c r="O62" s="174"/>
      <c r="P62" s="166" t="str">
        <f t="shared" si="3"/>
        <v/>
      </c>
      <c r="Q62" s="213" t="str">
        <f t="shared" si="4"/>
        <v/>
      </c>
      <c r="R62" s="174"/>
      <c r="S62" s="174"/>
      <c r="T62" s="214"/>
      <c r="U62" s="215" t="str">
        <f t="shared" si="5"/>
        <v/>
      </c>
      <c r="V62" s="216"/>
      <c r="Y62" s="219" t="str">
        <f t="shared" si="6"/>
        <v/>
      </c>
    </row>
    <row r="63" spans="1:25">
      <c r="A63" s="57">
        <v>53</v>
      </c>
      <c r="B63" s="173"/>
      <c r="C63" s="258"/>
      <c r="D63" s="261"/>
      <c r="E63" s="262"/>
      <c r="F63" s="172"/>
      <c r="G63" s="164"/>
      <c r="H63" s="173"/>
      <c r="I63" s="193" t="str">
        <f t="shared" si="0"/>
        <v/>
      </c>
      <c r="J63" s="194" t="str">
        <f t="shared" si="1"/>
        <v/>
      </c>
      <c r="K63" s="197"/>
      <c r="L63" s="198"/>
      <c r="M63" s="166" t="str">
        <f t="shared" si="2"/>
        <v/>
      </c>
      <c r="N63" s="173"/>
      <c r="O63" s="173"/>
      <c r="P63" s="166" t="str">
        <f t="shared" si="3"/>
        <v/>
      </c>
      <c r="Q63" s="213" t="str">
        <f t="shared" si="4"/>
        <v/>
      </c>
      <c r="R63" s="173"/>
      <c r="S63" s="173"/>
      <c r="T63" s="217"/>
      <c r="U63" s="215" t="str">
        <f t="shared" si="5"/>
        <v/>
      </c>
      <c r="V63" s="218"/>
      <c r="Y63" s="219" t="str">
        <f t="shared" si="6"/>
        <v/>
      </c>
    </row>
    <row r="64" spans="1:25">
      <c r="A64" s="165">
        <v>54</v>
      </c>
      <c r="B64" s="174"/>
      <c r="C64" s="257"/>
      <c r="D64" s="259"/>
      <c r="E64" s="260"/>
      <c r="F64" s="170"/>
      <c r="G64" s="171"/>
      <c r="H64" s="174"/>
      <c r="I64" s="193" t="str">
        <f t="shared" si="0"/>
        <v/>
      </c>
      <c r="J64" s="194" t="str">
        <f t="shared" si="1"/>
        <v/>
      </c>
      <c r="K64" s="195"/>
      <c r="L64" s="196"/>
      <c r="M64" s="166" t="str">
        <f t="shared" si="2"/>
        <v/>
      </c>
      <c r="N64" s="174"/>
      <c r="O64" s="174"/>
      <c r="P64" s="166" t="str">
        <f t="shared" si="3"/>
        <v/>
      </c>
      <c r="Q64" s="213" t="str">
        <f t="shared" si="4"/>
        <v/>
      </c>
      <c r="R64" s="174"/>
      <c r="S64" s="174"/>
      <c r="T64" s="214"/>
      <c r="U64" s="215" t="str">
        <f t="shared" si="5"/>
        <v/>
      </c>
      <c r="V64" s="216"/>
      <c r="Y64" s="219" t="str">
        <f t="shared" si="6"/>
        <v/>
      </c>
    </row>
    <row r="65" spans="1:25">
      <c r="A65" s="57">
        <v>55</v>
      </c>
      <c r="B65" s="173"/>
      <c r="C65" s="258"/>
      <c r="D65" s="261"/>
      <c r="E65" s="262"/>
      <c r="F65" s="172"/>
      <c r="G65" s="164"/>
      <c r="H65" s="173"/>
      <c r="I65" s="193" t="str">
        <f t="shared" si="0"/>
        <v/>
      </c>
      <c r="J65" s="194" t="str">
        <f t="shared" si="1"/>
        <v/>
      </c>
      <c r="K65" s="197"/>
      <c r="L65" s="198"/>
      <c r="M65" s="166" t="str">
        <f t="shared" si="2"/>
        <v/>
      </c>
      <c r="N65" s="173"/>
      <c r="O65" s="173"/>
      <c r="P65" s="166" t="str">
        <f t="shared" si="3"/>
        <v/>
      </c>
      <c r="Q65" s="213" t="str">
        <f t="shared" si="4"/>
        <v/>
      </c>
      <c r="R65" s="173"/>
      <c r="S65" s="173"/>
      <c r="T65" s="217"/>
      <c r="U65" s="215" t="str">
        <f t="shared" si="5"/>
        <v/>
      </c>
      <c r="V65" s="218"/>
      <c r="Y65" s="219" t="str">
        <f t="shared" si="6"/>
        <v/>
      </c>
    </row>
    <row r="66" spans="1:25">
      <c r="A66" s="165">
        <v>56</v>
      </c>
      <c r="B66" s="174"/>
      <c r="C66" s="257"/>
      <c r="D66" s="259"/>
      <c r="E66" s="260"/>
      <c r="F66" s="170"/>
      <c r="G66" s="171"/>
      <c r="H66" s="174"/>
      <c r="I66" s="193" t="str">
        <f t="shared" si="0"/>
        <v/>
      </c>
      <c r="J66" s="194" t="str">
        <f t="shared" si="1"/>
        <v/>
      </c>
      <c r="K66" s="195"/>
      <c r="L66" s="196"/>
      <c r="M66" s="166" t="str">
        <f t="shared" si="2"/>
        <v/>
      </c>
      <c r="N66" s="174"/>
      <c r="O66" s="174"/>
      <c r="P66" s="166" t="str">
        <f t="shared" si="3"/>
        <v/>
      </c>
      <c r="Q66" s="213" t="str">
        <f t="shared" si="4"/>
        <v/>
      </c>
      <c r="R66" s="174"/>
      <c r="S66" s="174"/>
      <c r="T66" s="214"/>
      <c r="U66" s="215" t="str">
        <f t="shared" si="5"/>
        <v/>
      </c>
      <c r="V66" s="216"/>
      <c r="Y66" s="219" t="str">
        <f t="shared" si="6"/>
        <v/>
      </c>
    </row>
    <row r="67" spans="1:25">
      <c r="A67" s="57">
        <v>57</v>
      </c>
      <c r="B67" s="173"/>
      <c r="C67" s="258"/>
      <c r="D67" s="261"/>
      <c r="E67" s="262"/>
      <c r="F67" s="172"/>
      <c r="G67" s="164"/>
      <c r="H67" s="173"/>
      <c r="I67" s="193" t="str">
        <f t="shared" si="0"/>
        <v/>
      </c>
      <c r="J67" s="194" t="str">
        <f t="shared" si="1"/>
        <v/>
      </c>
      <c r="K67" s="197"/>
      <c r="L67" s="198"/>
      <c r="M67" s="166" t="str">
        <f t="shared" si="2"/>
        <v/>
      </c>
      <c r="N67" s="173"/>
      <c r="O67" s="173"/>
      <c r="P67" s="166" t="str">
        <f t="shared" si="3"/>
        <v/>
      </c>
      <c r="Q67" s="213" t="str">
        <f t="shared" si="4"/>
        <v/>
      </c>
      <c r="R67" s="173"/>
      <c r="S67" s="173"/>
      <c r="T67" s="217"/>
      <c r="U67" s="215" t="str">
        <f t="shared" si="5"/>
        <v/>
      </c>
      <c r="V67" s="218"/>
      <c r="Y67" s="219" t="str">
        <f t="shared" si="6"/>
        <v/>
      </c>
    </row>
    <row r="68" spans="1:25">
      <c r="A68" s="165">
        <v>58</v>
      </c>
      <c r="B68" s="174"/>
      <c r="C68" s="257"/>
      <c r="D68" s="259"/>
      <c r="E68" s="260"/>
      <c r="F68" s="170"/>
      <c r="G68" s="171"/>
      <c r="H68" s="174"/>
      <c r="I68" s="193" t="str">
        <f t="shared" si="0"/>
        <v/>
      </c>
      <c r="J68" s="194" t="str">
        <f t="shared" si="1"/>
        <v/>
      </c>
      <c r="K68" s="195"/>
      <c r="L68" s="196"/>
      <c r="M68" s="166" t="str">
        <f t="shared" si="2"/>
        <v/>
      </c>
      <c r="N68" s="174"/>
      <c r="O68" s="174"/>
      <c r="P68" s="166" t="str">
        <f t="shared" si="3"/>
        <v/>
      </c>
      <c r="Q68" s="213" t="str">
        <f t="shared" si="4"/>
        <v/>
      </c>
      <c r="R68" s="174"/>
      <c r="S68" s="174"/>
      <c r="T68" s="214"/>
      <c r="U68" s="215" t="str">
        <f t="shared" si="5"/>
        <v/>
      </c>
      <c r="V68" s="216"/>
      <c r="Y68" s="219" t="str">
        <f t="shared" si="6"/>
        <v/>
      </c>
    </row>
    <row r="69" spans="1:25">
      <c r="A69" s="57">
        <v>59</v>
      </c>
      <c r="B69" s="173"/>
      <c r="C69" s="258"/>
      <c r="D69" s="261"/>
      <c r="E69" s="262"/>
      <c r="F69" s="172"/>
      <c r="G69" s="164"/>
      <c r="H69" s="173"/>
      <c r="I69" s="193" t="str">
        <f t="shared" si="0"/>
        <v/>
      </c>
      <c r="J69" s="194" t="str">
        <f t="shared" si="1"/>
        <v/>
      </c>
      <c r="K69" s="197"/>
      <c r="L69" s="198"/>
      <c r="M69" s="166" t="str">
        <f t="shared" si="2"/>
        <v/>
      </c>
      <c r="N69" s="173"/>
      <c r="O69" s="173"/>
      <c r="P69" s="166" t="str">
        <f t="shared" si="3"/>
        <v/>
      </c>
      <c r="Q69" s="213" t="str">
        <f t="shared" si="4"/>
        <v/>
      </c>
      <c r="R69" s="173"/>
      <c r="S69" s="173"/>
      <c r="T69" s="217"/>
      <c r="U69" s="215" t="str">
        <f t="shared" si="5"/>
        <v/>
      </c>
      <c r="V69" s="218"/>
      <c r="Y69" s="219" t="str">
        <f t="shared" si="6"/>
        <v/>
      </c>
    </row>
    <row r="70" spans="1:25">
      <c r="A70" s="57">
        <f>A69+1</f>
        <v>60</v>
      </c>
      <c r="B70" s="173"/>
      <c r="C70" s="258"/>
      <c r="D70" s="261"/>
      <c r="E70" s="262"/>
      <c r="F70" s="172"/>
      <c r="G70" s="171"/>
      <c r="H70" s="174"/>
      <c r="I70" s="193" t="str">
        <f t="shared" si="0"/>
        <v/>
      </c>
      <c r="J70" s="194" t="str">
        <f t="shared" si="1"/>
        <v/>
      </c>
      <c r="K70" s="195"/>
      <c r="L70" s="196"/>
      <c r="M70" s="166" t="str">
        <f t="shared" si="2"/>
        <v/>
      </c>
      <c r="N70" s="174"/>
      <c r="O70" s="174"/>
      <c r="P70" s="166" t="str">
        <f t="shared" si="3"/>
        <v/>
      </c>
      <c r="Q70" s="213" t="str">
        <f t="shared" si="4"/>
        <v/>
      </c>
      <c r="R70" s="174"/>
      <c r="S70" s="174"/>
      <c r="T70" s="214"/>
      <c r="U70" s="215" t="str">
        <f t="shared" si="5"/>
        <v/>
      </c>
      <c r="V70" s="216"/>
      <c r="Y70" s="219" t="str">
        <f t="shared" si="6"/>
        <v/>
      </c>
    </row>
    <row r="71" spans="1:25">
      <c r="A71" s="165">
        <f t="shared" ref="A71:A109" si="7">A70+1</f>
        <v>61</v>
      </c>
      <c r="B71" s="174"/>
      <c r="C71" s="257"/>
      <c r="D71" s="259"/>
      <c r="E71" s="260"/>
      <c r="F71" s="170"/>
      <c r="G71" s="164"/>
      <c r="H71" s="173"/>
      <c r="I71" s="193" t="str">
        <f t="shared" si="0"/>
        <v/>
      </c>
      <c r="J71" s="194" t="str">
        <f t="shared" si="1"/>
        <v/>
      </c>
      <c r="K71" s="197"/>
      <c r="L71" s="198"/>
      <c r="M71" s="166" t="str">
        <f t="shared" si="2"/>
        <v/>
      </c>
      <c r="N71" s="173"/>
      <c r="O71" s="173"/>
      <c r="P71" s="166" t="str">
        <f t="shared" si="3"/>
        <v/>
      </c>
      <c r="Q71" s="213" t="str">
        <f t="shared" si="4"/>
        <v/>
      </c>
      <c r="R71" s="173"/>
      <c r="S71" s="173"/>
      <c r="T71" s="217"/>
      <c r="U71" s="215" t="str">
        <f t="shared" si="5"/>
        <v/>
      </c>
      <c r="V71" s="218"/>
      <c r="Y71" s="219" t="str">
        <f t="shared" si="6"/>
        <v/>
      </c>
    </row>
    <row r="72" spans="1:25">
      <c r="A72" s="57">
        <f t="shared" si="7"/>
        <v>62</v>
      </c>
      <c r="B72" s="173"/>
      <c r="C72" s="258"/>
      <c r="D72" s="261"/>
      <c r="E72" s="262"/>
      <c r="F72" s="172"/>
      <c r="G72" s="171"/>
      <c r="H72" s="174"/>
      <c r="I72" s="193" t="str">
        <f t="shared" si="0"/>
        <v/>
      </c>
      <c r="J72" s="194" t="str">
        <f t="shared" si="1"/>
        <v/>
      </c>
      <c r="K72" s="195"/>
      <c r="L72" s="196"/>
      <c r="M72" s="166" t="str">
        <f t="shared" si="2"/>
        <v/>
      </c>
      <c r="N72" s="174"/>
      <c r="O72" s="174"/>
      <c r="P72" s="166" t="str">
        <f t="shared" si="3"/>
        <v/>
      </c>
      <c r="Q72" s="213" t="str">
        <f t="shared" si="4"/>
        <v/>
      </c>
      <c r="R72" s="174"/>
      <c r="S72" s="174"/>
      <c r="T72" s="214"/>
      <c r="U72" s="215" t="str">
        <f t="shared" si="5"/>
        <v/>
      </c>
      <c r="V72" s="216"/>
      <c r="Y72" s="219" t="str">
        <f t="shared" si="6"/>
        <v/>
      </c>
    </row>
    <row r="73" spans="1:25">
      <c r="A73" s="165">
        <f t="shared" si="7"/>
        <v>63</v>
      </c>
      <c r="B73" s="174"/>
      <c r="C73" s="257"/>
      <c r="D73" s="259"/>
      <c r="E73" s="260"/>
      <c r="F73" s="170"/>
      <c r="G73" s="164"/>
      <c r="H73" s="173"/>
      <c r="I73" s="193" t="str">
        <f t="shared" si="0"/>
        <v/>
      </c>
      <c r="J73" s="194" t="str">
        <f t="shared" si="1"/>
        <v/>
      </c>
      <c r="K73" s="197"/>
      <c r="L73" s="198"/>
      <c r="M73" s="166" t="str">
        <f t="shared" si="2"/>
        <v/>
      </c>
      <c r="N73" s="173"/>
      <c r="O73" s="173"/>
      <c r="P73" s="166" t="str">
        <f t="shared" si="3"/>
        <v/>
      </c>
      <c r="Q73" s="213" t="str">
        <f t="shared" si="4"/>
        <v/>
      </c>
      <c r="R73" s="173"/>
      <c r="S73" s="173"/>
      <c r="T73" s="217"/>
      <c r="U73" s="215" t="str">
        <f t="shared" si="5"/>
        <v/>
      </c>
      <c r="V73" s="218"/>
      <c r="Y73" s="219" t="str">
        <f t="shared" si="6"/>
        <v/>
      </c>
    </row>
    <row r="74" spans="1:25">
      <c r="A74" s="57">
        <f t="shared" si="7"/>
        <v>64</v>
      </c>
      <c r="B74" s="173"/>
      <c r="C74" s="258"/>
      <c r="D74" s="261"/>
      <c r="E74" s="262"/>
      <c r="F74" s="172"/>
      <c r="G74" s="171"/>
      <c r="H74" s="174"/>
      <c r="I74" s="193" t="str">
        <f t="shared" si="0"/>
        <v/>
      </c>
      <c r="J74" s="194" t="str">
        <f t="shared" si="1"/>
        <v/>
      </c>
      <c r="K74" s="195"/>
      <c r="L74" s="196"/>
      <c r="M74" s="166" t="str">
        <f t="shared" si="2"/>
        <v/>
      </c>
      <c r="N74" s="174"/>
      <c r="O74" s="174"/>
      <c r="P74" s="166" t="str">
        <f t="shared" si="3"/>
        <v/>
      </c>
      <c r="Q74" s="213" t="str">
        <f t="shared" si="4"/>
        <v/>
      </c>
      <c r="R74" s="174"/>
      <c r="S74" s="174"/>
      <c r="T74" s="214"/>
      <c r="U74" s="215" t="str">
        <f t="shared" si="5"/>
        <v/>
      </c>
      <c r="V74" s="216"/>
      <c r="Y74" s="219" t="str">
        <f t="shared" si="6"/>
        <v/>
      </c>
    </row>
    <row r="75" spans="1:25">
      <c r="A75" s="165">
        <f t="shared" si="7"/>
        <v>65</v>
      </c>
      <c r="B75" s="174"/>
      <c r="C75" s="257"/>
      <c r="D75" s="259"/>
      <c r="E75" s="260"/>
      <c r="F75" s="170"/>
      <c r="G75" s="164"/>
      <c r="H75" s="173"/>
      <c r="I75" s="193" t="str">
        <f t="shared" si="0"/>
        <v/>
      </c>
      <c r="J75" s="194" t="str">
        <f t="shared" si="1"/>
        <v/>
      </c>
      <c r="K75" s="197"/>
      <c r="L75" s="198"/>
      <c r="M75" s="166" t="str">
        <f t="shared" si="2"/>
        <v/>
      </c>
      <c r="N75" s="173"/>
      <c r="O75" s="173"/>
      <c r="P75" s="166" t="str">
        <f t="shared" si="3"/>
        <v/>
      </c>
      <c r="Q75" s="213" t="str">
        <f t="shared" si="4"/>
        <v/>
      </c>
      <c r="R75" s="173"/>
      <c r="S75" s="173"/>
      <c r="T75" s="217"/>
      <c r="U75" s="215" t="str">
        <f t="shared" si="5"/>
        <v/>
      </c>
      <c r="V75" s="218"/>
      <c r="Y75" s="219" t="str">
        <f t="shared" si="6"/>
        <v/>
      </c>
    </row>
    <row r="76" spans="1:25">
      <c r="A76" s="57">
        <f t="shared" si="7"/>
        <v>66</v>
      </c>
      <c r="B76" s="173"/>
      <c r="C76" s="258"/>
      <c r="D76" s="261"/>
      <c r="E76" s="262"/>
      <c r="F76" s="172"/>
      <c r="G76" s="171"/>
      <c r="H76" s="174"/>
      <c r="I76" s="193" t="str">
        <f t="shared" ref="I76:I110" si="8">IF(AND(F76="",G76=""),"",IF(F76&lt;7,F76+G76,F76+10+H76))</f>
        <v/>
      </c>
      <c r="J76" s="194" t="str">
        <f t="shared" ref="J76:J110" si="9">IF(I76="","",IF(F76&lt;7,IF(I76&lt;=10,"Full Refresher","Moderate Refresher"),IF(I76&lt;27,"Light Refresher","Grade Ready")))</f>
        <v/>
      </c>
      <c r="K76" s="195"/>
      <c r="L76" s="196"/>
      <c r="M76" s="166" t="str">
        <f t="shared" ref="M76:M110" si="10">IF($C$9&lt;&gt;"",IF(OR(K76=1,K76=2),IF(K76=1,M$7-L76,$P$7-L76),""),"")</f>
        <v/>
      </c>
      <c r="N76" s="174"/>
      <c r="O76" s="174"/>
      <c r="P76" s="166" t="str">
        <f t="shared" ref="P76:P110" si="11">IFERROR(IF(AND(K76&gt;0,M76&gt;0,OR(N76&gt;0,O76&gt;0)),(M76/((N76*60)+O76))*60,""),"")</f>
        <v/>
      </c>
      <c r="Q76" s="213" t="str">
        <f t="shared" ref="Q76:Q110" si="12">IFERROR(IF(OR(K76=1,K76=2),IF(K76=1,M76/$M$7,M76/$P$7),""),"")</f>
        <v/>
      </c>
      <c r="R76" s="174"/>
      <c r="S76" s="174"/>
      <c r="T76" s="214"/>
      <c r="U76" s="215" t="str">
        <f t="shared" ref="U76:U110" si="13">IF(J76&lt;&gt;"",IF(J76="Full Refresher","Low Emerging Reader",IF(AND(K76&gt;0,Q76&lt;&gt;""),IF(OR(Q76&lt;=25%,AND(Q76&gt;25%,Q76&lt;=50%,R76=0)),"High Emerging Reader",IF(OR(AND(Q76&gt;25%,Q76&lt;51%,R76&gt;=1),AND(Q76&gt;50%,Q76&lt;76%,R76&lt;=2)),"Developing Reader",IF(OR(AND(Q76&gt;=51%,Q76&lt;76%,R76&gt;=3),AND(Q76&gt;75%,R76&lt;=4)),"Transitioning Reader",IF(AND(Q76&gt;75%,R76&gt;=5),"Reading At Grade Level","")))),"")),"")</f>
        <v/>
      </c>
      <c r="V76" s="216"/>
      <c r="Y76" s="219" t="str">
        <f t="shared" ref="Y76:Y110" si="14">IF(C76&lt;&gt;"",R76/6,"")</f>
        <v/>
      </c>
    </row>
    <row r="77" spans="1:25">
      <c r="A77" s="165">
        <f t="shared" si="7"/>
        <v>67</v>
      </c>
      <c r="B77" s="174"/>
      <c r="C77" s="257"/>
      <c r="D77" s="259"/>
      <c r="E77" s="260"/>
      <c r="F77" s="170"/>
      <c r="G77" s="164"/>
      <c r="H77" s="173"/>
      <c r="I77" s="193" t="str">
        <f t="shared" si="8"/>
        <v/>
      </c>
      <c r="J77" s="194" t="str">
        <f t="shared" si="9"/>
        <v/>
      </c>
      <c r="K77" s="197"/>
      <c r="L77" s="198"/>
      <c r="M77" s="166" t="str">
        <f t="shared" si="10"/>
        <v/>
      </c>
      <c r="N77" s="173"/>
      <c r="O77" s="173"/>
      <c r="P77" s="166" t="str">
        <f t="shared" si="11"/>
        <v/>
      </c>
      <c r="Q77" s="213" t="str">
        <f t="shared" si="12"/>
        <v/>
      </c>
      <c r="R77" s="173"/>
      <c r="S77" s="173"/>
      <c r="T77" s="217"/>
      <c r="U77" s="215" t="str">
        <f t="shared" si="13"/>
        <v/>
      </c>
      <c r="V77" s="218"/>
      <c r="Y77" s="219" t="str">
        <f t="shared" si="14"/>
        <v/>
      </c>
    </row>
    <row r="78" spans="1:25">
      <c r="A78" s="57">
        <f t="shared" si="7"/>
        <v>68</v>
      </c>
      <c r="B78" s="173"/>
      <c r="C78" s="258"/>
      <c r="D78" s="261"/>
      <c r="E78" s="262"/>
      <c r="F78" s="172"/>
      <c r="G78" s="171"/>
      <c r="H78" s="174"/>
      <c r="I78" s="193" t="str">
        <f t="shared" si="8"/>
        <v/>
      </c>
      <c r="J78" s="194" t="str">
        <f t="shared" si="9"/>
        <v/>
      </c>
      <c r="K78" s="195"/>
      <c r="L78" s="196"/>
      <c r="M78" s="166" t="str">
        <f t="shared" si="10"/>
        <v/>
      </c>
      <c r="N78" s="174"/>
      <c r="O78" s="174"/>
      <c r="P78" s="166" t="str">
        <f t="shared" si="11"/>
        <v/>
      </c>
      <c r="Q78" s="213" t="str">
        <f t="shared" si="12"/>
        <v/>
      </c>
      <c r="R78" s="174"/>
      <c r="S78" s="174"/>
      <c r="T78" s="214"/>
      <c r="U78" s="215" t="str">
        <f t="shared" si="13"/>
        <v/>
      </c>
      <c r="V78" s="216"/>
      <c r="Y78" s="219" t="str">
        <f t="shared" si="14"/>
        <v/>
      </c>
    </row>
    <row r="79" spans="1:25">
      <c r="A79" s="165">
        <f t="shared" si="7"/>
        <v>69</v>
      </c>
      <c r="B79" s="174"/>
      <c r="C79" s="257"/>
      <c r="D79" s="259"/>
      <c r="E79" s="260"/>
      <c r="F79" s="170"/>
      <c r="G79" s="164"/>
      <c r="H79" s="173"/>
      <c r="I79" s="193" t="str">
        <f t="shared" si="8"/>
        <v/>
      </c>
      <c r="J79" s="194" t="str">
        <f t="shared" si="9"/>
        <v/>
      </c>
      <c r="K79" s="197"/>
      <c r="L79" s="198"/>
      <c r="M79" s="166" t="str">
        <f t="shared" si="10"/>
        <v/>
      </c>
      <c r="N79" s="173"/>
      <c r="O79" s="173"/>
      <c r="P79" s="166" t="str">
        <f t="shared" si="11"/>
        <v/>
      </c>
      <c r="Q79" s="213" t="str">
        <f t="shared" si="12"/>
        <v/>
      </c>
      <c r="R79" s="173"/>
      <c r="S79" s="173"/>
      <c r="T79" s="217"/>
      <c r="U79" s="215" t="str">
        <f t="shared" si="13"/>
        <v/>
      </c>
      <c r="V79" s="218"/>
      <c r="Y79" s="219" t="str">
        <f t="shared" si="14"/>
        <v/>
      </c>
    </row>
    <row r="80" spans="1:25">
      <c r="A80" s="57">
        <f t="shared" si="7"/>
        <v>70</v>
      </c>
      <c r="B80" s="173"/>
      <c r="C80" s="258"/>
      <c r="D80" s="261"/>
      <c r="E80" s="262"/>
      <c r="F80" s="172"/>
      <c r="G80" s="171"/>
      <c r="H80" s="174"/>
      <c r="I80" s="193" t="str">
        <f t="shared" si="8"/>
        <v/>
      </c>
      <c r="J80" s="194" t="str">
        <f t="shared" si="9"/>
        <v/>
      </c>
      <c r="K80" s="195"/>
      <c r="L80" s="196"/>
      <c r="M80" s="166" t="str">
        <f t="shared" si="10"/>
        <v/>
      </c>
      <c r="N80" s="174"/>
      <c r="O80" s="174"/>
      <c r="P80" s="166" t="str">
        <f t="shared" si="11"/>
        <v/>
      </c>
      <c r="Q80" s="213" t="str">
        <f t="shared" si="12"/>
        <v/>
      </c>
      <c r="R80" s="174"/>
      <c r="S80" s="174"/>
      <c r="T80" s="214"/>
      <c r="U80" s="215" t="str">
        <f t="shared" si="13"/>
        <v/>
      </c>
      <c r="V80" s="216"/>
      <c r="Y80" s="219" t="str">
        <f t="shared" si="14"/>
        <v/>
      </c>
    </row>
    <row r="81" spans="1:25">
      <c r="A81" s="165">
        <f t="shared" si="7"/>
        <v>71</v>
      </c>
      <c r="B81" s="174"/>
      <c r="C81" s="257"/>
      <c r="D81" s="259"/>
      <c r="E81" s="260"/>
      <c r="F81" s="170"/>
      <c r="G81" s="164"/>
      <c r="H81" s="173"/>
      <c r="I81" s="193" t="str">
        <f t="shared" si="8"/>
        <v/>
      </c>
      <c r="J81" s="194" t="str">
        <f t="shared" si="9"/>
        <v/>
      </c>
      <c r="K81" s="197"/>
      <c r="L81" s="198"/>
      <c r="M81" s="166" t="str">
        <f t="shared" si="10"/>
        <v/>
      </c>
      <c r="N81" s="173"/>
      <c r="O81" s="173"/>
      <c r="P81" s="166" t="str">
        <f t="shared" si="11"/>
        <v/>
      </c>
      <c r="Q81" s="213" t="str">
        <f t="shared" si="12"/>
        <v/>
      </c>
      <c r="R81" s="173"/>
      <c r="S81" s="173"/>
      <c r="T81" s="217"/>
      <c r="U81" s="215" t="str">
        <f t="shared" si="13"/>
        <v/>
      </c>
      <c r="V81" s="218"/>
      <c r="Y81" s="219" t="str">
        <f t="shared" si="14"/>
        <v/>
      </c>
    </row>
    <row r="82" spans="1:25">
      <c r="A82" s="57">
        <f t="shared" si="7"/>
        <v>72</v>
      </c>
      <c r="B82" s="173"/>
      <c r="C82" s="258"/>
      <c r="D82" s="261"/>
      <c r="E82" s="262"/>
      <c r="F82" s="172"/>
      <c r="G82" s="171"/>
      <c r="H82" s="174"/>
      <c r="I82" s="193" t="str">
        <f t="shared" si="8"/>
        <v/>
      </c>
      <c r="J82" s="194" t="str">
        <f t="shared" si="9"/>
        <v/>
      </c>
      <c r="K82" s="195"/>
      <c r="L82" s="196"/>
      <c r="M82" s="166" t="str">
        <f t="shared" si="10"/>
        <v/>
      </c>
      <c r="N82" s="174"/>
      <c r="O82" s="174"/>
      <c r="P82" s="166" t="str">
        <f t="shared" si="11"/>
        <v/>
      </c>
      <c r="Q82" s="213" t="str">
        <f t="shared" si="12"/>
        <v/>
      </c>
      <c r="R82" s="174"/>
      <c r="S82" s="174"/>
      <c r="T82" s="214"/>
      <c r="U82" s="215" t="str">
        <f t="shared" si="13"/>
        <v/>
      </c>
      <c r="V82" s="216"/>
      <c r="Y82" s="219" t="str">
        <f t="shared" si="14"/>
        <v/>
      </c>
    </row>
    <row r="83" spans="1:25">
      <c r="A83" s="165">
        <f t="shared" si="7"/>
        <v>73</v>
      </c>
      <c r="B83" s="174"/>
      <c r="C83" s="257"/>
      <c r="D83" s="259"/>
      <c r="E83" s="260"/>
      <c r="F83" s="170"/>
      <c r="G83" s="164"/>
      <c r="H83" s="173"/>
      <c r="I83" s="193" t="str">
        <f t="shared" si="8"/>
        <v/>
      </c>
      <c r="J83" s="194" t="str">
        <f t="shared" si="9"/>
        <v/>
      </c>
      <c r="K83" s="197"/>
      <c r="L83" s="198"/>
      <c r="M83" s="166" t="str">
        <f t="shared" si="10"/>
        <v/>
      </c>
      <c r="N83" s="173"/>
      <c r="O83" s="173"/>
      <c r="P83" s="166" t="str">
        <f t="shared" si="11"/>
        <v/>
      </c>
      <c r="Q83" s="213" t="str">
        <f t="shared" si="12"/>
        <v/>
      </c>
      <c r="R83" s="173"/>
      <c r="S83" s="173"/>
      <c r="T83" s="217"/>
      <c r="U83" s="215" t="str">
        <f t="shared" si="13"/>
        <v/>
      </c>
      <c r="V83" s="218"/>
      <c r="Y83" s="219" t="str">
        <f t="shared" si="14"/>
        <v/>
      </c>
    </row>
    <row r="84" spans="1:25">
      <c r="A84" s="57">
        <f t="shared" si="7"/>
        <v>74</v>
      </c>
      <c r="B84" s="173"/>
      <c r="C84" s="258"/>
      <c r="D84" s="261"/>
      <c r="E84" s="262"/>
      <c r="F84" s="172"/>
      <c r="G84" s="171"/>
      <c r="H84" s="174"/>
      <c r="I84" s="193" t="str">
        <f t="shared" si="8"/>
        <v/>
      </c>
      <c r="J84" s="194" t="str">
        <f t="shared" si="9"/>
        <v/>
      </c>
      <c r="K84" s="195"/>
      <c r="L84" s="196"/>
      <c r="M84" s="166" t="str">
        <f t="shared" si="10"/>
        <v/>
      </c>
      <c r="N84" s="174"/>
      <c r="O84" s="174"/>
      <c r="P84" s="166" t="str">
        <f t="shared" si="11"/>
        <v/>
      </c>
      <c r="Q84" s="213" t="str">
        <f t="shared" si="12"/>
        <v/>
      </c>
      <c r="R84" s="174"/>
      <c r="S84" s="174"/>
      <c r="T84" s="214"/>
      <c r="U84" s="215" t="str">
        <f t="shared" si="13"/>
        <v/>
      </c>
      <c r="V84" s="216"/>
      <c r="Y84" s="219" t="str">
        <f t="shared" si="14"/>
        <v/>
      </c>
    </row>
    <row r="85" spans="1:25">
      <c r="A85" s="165">
        <f t="shared" si="7"/>
        <v>75</v>
      </c>
      <c r="B85" s="174"/>
      <c r="C85" s="257"/>
      <c r="D85" s="259"/>
      <c r="E85" s="260"/>
      <c r="F85" s="170"/>
      <c r="G85" s="164"/>
      <c r="H85" s="173"/>
      <c r="I85" s="193" t="str">
        <f t="shared" si="8"/>
        <v/>
      </c>
      <c r="J85" s="194" t="str">
        <f t="shared" si="9"/>
        <v/>
      </c>
      <c r="K85" s="197"/>
      <c r="L85" s="198"/>
      <c r="M85" s="166" t="str">
        <f t="shared" si="10"/>
        <v/>
      </c>
      <c r="N85" s="173"/>
      <c r="O85" s="173"/>
      <c r="P85" s="166" t="str">
        <f t="shared" si="11"/>
        <v/>
      </c>
      <c r="Q85" s="213" t="str">
        <f t="shared" si="12"/>
        <v/>
      </c>
      <c r="R85" s="173"/>
      <c r="S85" s="173"/>
      <c r="T85" s="217"/>
      <c r="U85" s="215" t="str">
        <f t="shared" si="13"/>
        <v/>
      </c>
      <c r="V85" s="218"/>
      <c r="Y85" s="219" t="str">
        <f t="shared" si="14"/>
        <v/>
      </c>
    </row>
    <row r="86" spans="1:25">
      <c r="A86" s="57">
        <f t="shared" si="7"/>
        <v>76</v>
      </c>
      <c r="B86" s="173"/>
      <c r="C86" s="258"/>
      <c r="D86" s="261"/>
      <c r="E86" s="262"/>
      <c r="F86" s="172"/>
      <c r="G86" s="171"/>
      <c r="H86" s="174"/>
      <c r="I86" s="193" t="str">
        <f t="shared" si="8"/>
        <v/>
      </c>
      <c r="J86" s="194" t="str">
        <f t="shared" si="9"/>
        <v/>
      </c>
      <c r="K86" s="195"/>
      <c r="L86" s="196"/>
      <c r="M86" s="166" t="str">
        <f t="shared" si="10"/>
        <v/>
      </c>
      <c r="N86" s="174"/>
      <c r="O86" s="174"/>
      <c r="P86" s="166" t="str">
        <f t="shared" si="11"/>
        <v/>
      </c>
      <c r="Q86" s="213" t="str">
        <f t="shared" si="12"/>
        <v/>
      </c>
      <c r="R86" s="174"/>
      <c r="S86" s="174"/>
      <c r="T86" s="214"/>
      <c r="U86" s="215" t="str">
        <f t="shared" si="13"/>
        <v/>
      </c>
      <c r="V86" s="216"/>
      <c r="Y86" s="219" t="str">
        <f t="shared" si="14"/>
        <v/>
      </c>
    </row>
    <row r="87" spans="1:25">
      <c r="A87" s="165">
        <f t="shared" si="7"/>
        <v>77</v>
      </c>
      <c r="B87" s="174"/>
      <c r="C87" s="257"/>
      <c r="D87" s="259"/>
      <c r="E87" s="260"/>
      <c r="F87" s="170"/>
      <c r="G87" s="164"/>
      <c r="H87" s="173"/>
      <c r="I87" s="193" t="str">
        <f t="shared" si="8"/>
        <v/>
      </c>
      <c r="J87" s="194" t="str">
        <f t="shared" si="9"/>
        <v/>
      </c>
      <c r="K87" s="197"/>
      <c r="L87" s="198"/>
      <c r="M87" s="166" t="str">
        <f t="shared" si="10"/>
        <v/>
      </c>
      <c r="N87" s="173"/>
      <c r="O87" s="173"/>
      <c r="P87" s="166" t="str">
        <f t="shared" si="11"/>
        <v/>
      </c>
      <c r="Q87" s="213" t="str">
        <f t="shared" si="12"/>
        <v/>
      </c>
      <c r="R87" s="173"/>
      <c r="S87" s="173"/>
      <c r="T87" s="217"/>
      <c r="U87" s="215" t="str">
        <f t="shared" si="13"/>
        <v/>
      </c>
      <c r="V87" s="218"/>
      <c r="Y87" s="219" t="str">
        <f t="shared" si="14"/>
        <v/>
      </c>
    </row>
    <row r="88" spans="1:25">
      <c r="A88" s="57">
        <f t="shared" si="7"/>
        <v>78</v>
      </c>
      <c r="B88" s="173"/>
      <c r="C88" s="258"/>
      <c r="D88" s="261"/>
      <c r="E88" s="262"/>
      <c r="F88" s="172"/>
      <c r="G88" s="171"/>
      <c r="H88" s="174"/>
      <c r="I88" s="193" t="str">
        <f t="shared" si="8"/>
        <v/>
      </c>
      <c r="J88" s="194" t="str">
        <f t="shared" si="9"/>
        <v/>
      </c>
      <c r="K88" s="195"/>
      <c r="L88" s="196"/>
      <c r="M88" s="166" t="str">
        <f t="shared" si="10"/>
        <v/>
      </c>
      <c r="N88" s="174"/>
      <c r="O88" s="174"/>
      <c r="P88" s="166" t="str">
        <f t="shared" si="11"/>
        <v/>
      </c>
      <c r="Q88" s="213" t="str">
        <f t="shared" si="12"/>
        <v/>
      </c>
      <c r="R88" s="174"/>
      <c r="S88" s="174"/>
      <c r="T88" s="214"/>
      <c r="U88" s="215" t="str">
        <f t="shared" si="13"/>
        <v/>
      </c>
      <c r="V88" s="216"/>
      <c r="Y88" s="219" t="str">
        <f t="shared" si="14"/>
        <v/>
      </c>
    </row>
    <row r="89" spans="1:25">
      <c r="A89" s="165">
        <f t="shared" si="7"/>
        <v>79</v>
      </c>
      <c r="B89" s="174"/>
      <c r="C89" s="257"/>
      <c r="D89" s="259"/>
      <c r="E89" s="260"/>
      <c r="F89" s="170"/>
      <c r="G89" s="164"/>
      <c r="H89" s="173"/>
      <c r="I89" s="193" t="str">
        <f t="shared" si="8"/>
        <v/>
      </c>
      <c r="J89" s="194" t="str">
        <f t="shared" si="9"/>
        <v/>
      </c>
      <c r="K89" s="197"/>
      <c r="L89" s="198"/>
      <c r="M89" s="166" t="str">
        <f t="shared" si="10"/>
        <v/>
      </c>
      <c r="N89" s="173"/>
      <c r="O89" s="173"/>
      <c r="P89" s="166" t="str">
        <f t="shared" si="11"/>
        <v/>
      </c>
      <c r="Q89" s="213" t="str">
        <f t="shared" si="12"/>
        <v/>
      </c>
      <c r="R89" s="173"/>
      <c r="S89" s="173"/>
      <c r="T89" s="217"/>
      <c r="U89" s="215" t="str">
        <f t="shared" si="13"/>
        <v/>
      </c>
      <c r="V89" s="218"/>
      <c r="Y89" s="219" t="str">
        <f t="shared" si="14"/>
        <v/>
      </c>
    </row>
    <row r="90" spans="1:25">
      <c r="A90" s="57">
        <f t="shared" si="7"/>
        <v>80</v>
      </c>
      <c r="B90" s="173"/>
      <c r="C90" s="258"/>
      <c r="D90" s="261"/>
      <c r="E90" s="262"/>
      <c r="F90" s="172"/>
      <c r="G90" s="171"/>
      <c r="H90" s="174"/>
      <c r="I90" s="193" t="str">
        <f t="shared" si="8"/>
        <v/>
      </c>
      <c r="J90" s="194" t="str">
        <f t="shared" si="9"/>
        <v/>
      </c>
      <c r="K90" s="195"/>
      <c r="L90" s="196"/>
      <c r="M90" s="166" t="str">
        <f t="shared" si="10"/>
        <v/>
      </c>
      <c r="N90" s="174"/>
      <c r="O90" s="174"/>
      <c r="P90" s="166" t="str">
        <f t="shared" si="11"/>
        <v/>
      </c>
      <c r="Q90" s="213" t="str">
        <f t="shared" si="12"/>
        <v/>
      </c>
      <c r="R90" s="174"/>
      <c r="S90" s="174"/>
      <c r="T90" s="214"/>
      <c r="U90" s="215" t="str">
        <f t="shared" si="13"/>
        <v/>
      </c>
      <c r="V90" s="216"/>
      <c r="Y90" s="219" t="str">
        <f t="shared" si="14"/>
        <v/>
      </c>
    </row>
    <row r="91" spans="1:25">
      <c r="A91" s="165">
        <f t="shared" si="7"/>
        <v>81</v>
      </c>
      <c r="B91" s="174"/>
      <c r="C91" s="257"/>
      <c r="D91" s="259"/>
      <c r="E91" s="260"/>
      <c r="F91" s="170"/>
      <c r="G91" s="164"/>
      <c r="H91" s="173"/>
      <c r="I91" s="193" t="str">
        <f t="shared" si="8"/>
        <v/>
      </c>
      <c r="J91" s="194" t="str">
        <f t="shared" si="9"/>
        <v/>
      </c>
      <c r="K91" s="197"/>
      <c r="L91" s="198"/>
      <c r="M91" s="166" t="str">
        <f t="shared" si="10"/>
        <v/>
      </c>
      <c r="N91" s="173"/>
      <c r="O91" s="173"/>
      <c r="P91" s="166" t="str">
        <f t="shared" si="11"/>
        <v/>
      </c>
      <c r="Q91" s="213" t="str">
        <f t="shared" si="12"/>
        <v/>
      </c>
      <c r="R91" s="173"/>
      <c r="S91" s="173"/>
      <c r="T91" s="217"/>
      <c r="U91" s="215" t="str">
        <f t="shared" si="13"/>
        <v/>
      </c>
      <c r="V91" s="218"/>
      <c r="Y91" s="219" t="str">
        <f t="shared" si="14"/>
        <v/>
      </c>
    </row>
    <row r="92" spans="1:25">
      <c r="A92" s="57">
        <f t="shared" si="7"/>
        <v>82</v>
      </c>
      <c r="B92" s="173"/>
      <c r="C92" s="258"/>
      <c r="D92" s="261"/>
      <c r="E92" s="262"/>
      <c r="F92" s="172"/>
      <c r="G92" s="171"/>
      <c r="H92" s="174"/>
      <c r="I92" s="193" t="str">
        <f t="shared" si="8"/>
        <v/>
      </c>
      <c r="J92" s="194" t="str">
        <f t="shared" si="9"/>
        <v/>
      </c>
      <c r="K92" s="195"/>
      <c r="L92" s="196"/>
      <c r="M92" s="166" t="str">
        <f t="shared" si="10"/>
        <v/>
      </c>
      <c r="N92" s="174"/>
      <c r="O92" s="174"/>
      <c r="P92" s="166" t="str">
        <f t="shared" si="11"/>
        <v/>
      </c>
      <c r="Q92" s="213" t="str">
        <f t="shared" si="12"/>
        <v/>
      </c>
      <c r="R92" s="174"/>
      <c r="S92" s="174"/>
      <c r="T92" s="214"/>
      <c r="U92" s="215" t="str">
        <f t="shared" si="13"/>
        <v/>
      </c>
      <c r="V92" s="216"/>
      <c r="Y92" s="219" t="str">
        <f t="shared" si="14"/>
        <v/>
      </c>
    </row>
    <row r="93" spans="1:25">
      <c r="A93" s="165">
        <f t="shared" si="7"/>
        <v>83</v>
      </c>
      <c r="B93" s="174"/>
      <c r="C93" s="257"/>
      <c r="D93" s="259"/>
      <c r="E93" s="260"/>
      <c r="F93" s="170"/>
      <c r="G93" s="164"/>
      <c r="H93" s="173"/>
      <c r="I93" s="193" t="str">
        <f t="shared" si="8"/>
        <v/>
      </c>
      <c r="J93" s="194" t="str">
        <f t="shared" si="9"/>
        <v/>
      </c>
      <c r="K93" s="197"/>
      <c r="L93" s="198"/>
      <c r="M93" s="166" t="str">
        <f t="shared" si="10"/>
        <v/>
      </c>
      <c r="N93" s="173"/>
      <c r="O93" s="173"/>
      <c r="P93" s="166" t="str">
        <f t="shared" si="11"/>
        <v/>
      </c>
      <c r="Q93" s="213" t="str">
        <f t="shared" si="12"/>
        <v/>
      </c>
      <c r="R93" s="173"/>
      <c r="S93" s="173"/>
      <c r="T93" s="217"/>
      <c r="U93" s="215" t="str">
        <f t="shared" si="13"/>
        <v/>
      </c>
      <c r="V93" s="218"/>
      <c r="Y93" s="219" t="str">
        <f t="shared" si="14"/>
        <v/>
      </c>
    </row>
    <row r="94" spans="1:25">
      <c r="A94" s="57">
        <f t="shared" si="7"/>
        <v>84</v>
      </c>
      <c r="B94" s="173"/>
      <c r="C94" s="258"/>
      <c r="D94" s="261"/>
      <c r="E94" s="262"/>
      <c r="F94" s="172"/>
      <c r="G94" s="171"/>
      <c r="H94" s="174"/>
      <c r="I94" s="193" t="str">
        <f t="shared" si="8"/>
        <v/>
      </c>
      <c r="J94" s="194" t="str">
        <f t="shared" si="9"/>
        <v/>
      </c>
      <c r="K94" s="195"/>
      <c r="L94" s="196"/>
      <c r="M94" s="166" t="str">
        <f t="shared" si="10"/>
        <v/>
      </c>
      <c r="N94" s="174"/>
      <c r="O94" s="174"/>
      <c r="P94" s="166" t="str">
        <f t="shared" si="11"/>
        <v/>
      </c>
      <c r="Q94" s="213" t="str">
        <f t="shared" si="12"/>
        <v/>
      </c>
      <c r="R94" s="174"/>
      <c r="S94" s="174"/>
      <c r="T94" s="214"/>
      <c r="U94" s="215" t="str">
        <f t="shared" si="13"/>
        <v/>
      </c>
      <c r="V94" s="216"/>
      <c r="Y94" s="219" t="str">
        <f t="shared" si="14"/>
        <v/>
      </c>
    </row>
    <row r="95" spans="1:25">
      <c r="A95" s="165">
        <f t="shared" si="7"/>
        <v>85</v>
      </c>
      <c r="B95" s="174"/>
      <c r="C95" s="257"/>
      <c r="D95" s="259"/>
      <c r="E95" s="260"/>
      <c r="F95" s="170"/>
      <c r="G95" s="164"/>
      <c r="H95" s="173"/>
      <c r="I95" s="193" t="str">
        <f t="shared" si="8"/>
        <v/>
      </c>
      <c r="J95" s="194" t="str">
        <f t="shared" si="9"/>
        <v/>
      </c>
      <c r="K95" s="197"/>
      <c r="L95" s="198"/>
      <c r="M95" s="166" t="str">
        <f t="shared" si="10"/>
        <v/>
      </c>
      <c r="N95" s="173"/>
      <c r="O95" s="173"/>
      <c r="P95" s="166" t="str">
        <f t="shared" si="11"/>
        <v/>
      </c>
      <c r="Q95" s="213" t="str">
        <f t="shared" si="12"/>
        <v/>
      </c>
      <c r="R95" s="173"/>
      <c r="S95" s="173"/>
      <c r="T95" s="217"/>
      <c r="U95" s="215" t="str">
        <f t="shared" si="13"/>
        <v/>
      </c>
      <c r="V95" s="218"/>
      <c r="Y95" s="219" t="str">
        <f t="shared" si="14"/>
        <v/>
      </c>
    </row>
    <row r="96" spans="1:25">
      <c r="A96" s="57">
        <f t="shared" si="7"/>
        <v>86</v>
      </c>
      <c r="B96" s="173"/>
      <c r="C96" s="258"/>
      <c r="D96" s="261"/>
      <c r="E96" s="262"/>
      <c r="F96" s="172"/>
      <c r="G96" s="171"/>
      <c r="H96" s="174"/>
      <c r="I96" s="193" t="str">
        <f t="shared" si="8"/>
        <v/>
      </c>
      <c r="J96" s="194" t="str">
        <f t="shared" si="9"/>
        <v/>
      </c>
      <c r="K96" s="195"/>
      <c r="L96" s="196"/>
      <c r="M96" s="166" t="str">
        <f t="shared" si="10"/>
        <v/>
      </c>
      <c r="N96" s="174"/>
      <c r="O96" s="174"/>
      <c r="P96" s="166" t="str">
        <f t="shared" si="11"/>
        <v/>
      </c>
      <c r="Q96" s="213" t="str">
        <f t="shared" si="12"/>
        <v/>
      </c>
      <c r="R96" s="174"/>
      <c r="S96" s="174"/>
      <c r="T96" s="214"/>
      <c r="U96" s="215" t="str">
        <f t="shared" si="13"/>
        <v/>
      </c>
      <c r="V96" s="216"/>
      <c r="Y96" s="219" t="str">
        <f t="shared" si="14"/>
        <v/>
      </c>
    </row>
    <row r="97" spans="1:25">
      <c r="A97" s="165">
        <f t="shared" si="7"/>
        <v>87</v>
      </c>
      <c r="B97" s="174"/>
      <c r="C97" s="257"/>
      <c r="D97" s="259"/>
      <c r="E97" s="260"/>
      <c r="F97" s="170"/>
      <c r="G97" s="164"/>
      <c r="H97" s="173"/>
      <c r="I97" s="193" t="str">
        <f t="shared" si="8"/>
        <v/>
      </c>
      <c r="J97" s="194" t="str">
        <f t="shared" si="9"/>
        <v/>
      </c>
      <c r="K97" s="197"/>
      <c r="L97" s="198"/>
      <c r="M97" s="166" t="str">
        <f t="shared" si="10"/>
        <v/>
      </c>
      <c r="N97" s="173"/>
      <c r="O97" s="173"/>
      <c r="P97" s="166" t="str">
        <f t="shared" si="11"/>
        <v/>
      </c>
      <c r="Q97" s="213" t="str">
        <f t="shared" si="12"/>
        <v/>
      </c>
      <c r="R97" s="173"/>
      <c r="S97" s="173"/>
      <c r="T97" s="217"/>
      <c r="U97" s="215" t="str">
        <f t="shared" si="13"/>
        <v/>
      </c>
      <c r="V97" s="218"/>
      <c r="Y97" s="219" t="str">
        <f t="shared" si="14"/>
        <v/>
      </c>
    </row>
    <row r="98" spans="1:25">
      <c r="A98" s="57">
        <f t="shared" si="7"/>
        <v>88</v>
      </c>
      <c r="B98" s="173"/>
      <c r="C98" s="258"/>
      <c r="D98" s="261"/>
      <c r="E98" s="262"/>
      <c r="F98" s="172"/>
      <c r="G98" s="171"/>
      <c r="H98" s="174"/>
      <c r="I98" s="193" t="str">
        <f t="shared" si="8"/>
        <v/>
      </c>
      <c r="J98" s="194" t="str">
        <f t="shared" si="9"/>
        <v/>
      </c>
      <c r="K98" s="195"/>
      <c r="L98" s="196"/>
      <c r="M98" s="166" t="str">
        <f t="shared" si="10"/>
        <v/>
      </c>
      <c r="N98" s="174"/>
      <c r="O98" s="174"/>
      <c r="P98" s="166" t="str">
        <f t="shared" si="11"/>
        <v/>
      </c>
      <c r="Q98" s="213" t="str">
        <f t="shared" si="12"/>
        <v/>
      </c>
      <c r="R98" s="174"/>
      <c r="S98" s="174"/>
      <c r="T98" s="214"/>
      <c r="U98" s="215" t="str">
        <f t="shared" si="13"/>
        <v/>
      </c>
      <c r="V98" s="216"/>
      <c r="Y98" s="219" t="str">
        <f t="shared" si="14"/>
        <v/>
      </c>
    </row>
    <row r="99" spans="1:25">
      <c r="A99" s="165">
        <f t="shared" si="7"/>
        <v>89</v>
      </c>
      <c r="B99" s="174"/>
      <c r="C99" s="257"/>
      <c r="D99" s="259"/>
      <c r="E99" s="260"/>
      <c r="F99" s="170"/>
      <c r="G99" s="164"/>
      <c r="H99" s="173"/>
      <c r="I99" s="193" t="str">
        <f t="shared" si="8"/>
        <v/>
      </c>
      <c r="J99" s="194" t="str">
        <f t="shared" si="9"/>
        <v/>
      </c>
      <c r="K99" s="197"/>
      <c r="L99" s="198"/>
      <c r="M99" s="166" t="str">
        <f t="shared" si="10"/>
        <v/>
      </c>
      <c r="N99" s="173"/>
      <c r="O99" s="173"/>
      <c r="P99" s="166" t="str">
        <f t="shared" si="11"/>
        <v/>
      </c>
      <c r="Q99" s="213" t="str">
        <f t="shared" si="12"/>
        <v/>
      </c>
      <c r="R99" s="173"/>
      <c r="S99" s="173"/>
      <c r="T99" s="217"/>
      <c r="U99" s="215" t="str">
        <f t="shared" si="13"/>
        <v/>
      </c>
      <c r="V99" s="218"/>
      <c r="Y99" s="219" t="str">
        <f t="shared" si="14"/>
        <v/>
      </c>
    </row>
    <row r="100" spans="1:25">
      <c r="A100" s="57">
        <f t="shared" si="7"/>
        <v>90</v>
      </c>
      <c r="B100" s="173"/>
      <c r="C100" s="258"/>
      <c r="D100" s="261"/>
      <c r="E100" s="262"/>
      <c r="F100" s="172"/>
      <c r="G100" s="171"/>
      <c r="H100" s="174"/>
      <c r="I100" s="193" t="str">
        <f t="shared" si="8"/>
        <v/>
      </c>
      <c r="J100" s="194" t="str">
        <f t="shared" si="9"/>
        <v/>
      </c>
      <c r="K100" s="195"/>
      <c r="L100" s="196"/>
      <c r="M100" s="166" t="str">
        <f t="shared" si="10"/>
        <v/>
      </c>
      <c r="N100" s="174"/>
      <c r="O100" s="174"/>
      <c r="P100" s="166" t="str">
        <f t="shared" si="11"/>
        <v/>
      </c>
      <c r="Q100" s="213" t="str">
        <f t="shared" si="12"/>
        <v/>
      </c>
      <c r="R100" s="174"/>
      <c r="S100" s="174"/>
      <c r="T100" s="214"/>
      <c r="U100" s="215" t="str">
        <f t="shared" si="13"/>
        <v/>
      </c>
      <c r="V100" s="216"/>
      <c r="Y100" s="219" t="str">
        <f t="shared" si="14"/>
        <v/>
      </c>
    </row>
    <row r="101" spans="1:25">
      <c r="A101" s="165">
        <f t="shared" si="7"/>
        <v>91</v>
      </c>
      <c r="B101" s="174"/>
      <c r="C101" s="257"/>
      <c r="D101" s="259"/>
      <c r="E101" s="260"/>
      <c r="F101" s="170"/>
      <c r="G101" s="164"/>
      <c r="H101" s="173"/>
      <c r="I101" s="193" t="str">
        <f t="shared" si="8"/>
        <v/>
      </c>
      <c r="J101" s="194" t="str">
        <f t="shared" si="9"/>
        <v/>
      </c>
      <c r="K101" s="197"/>
      <c r="L101" s="198"/>
      <c r="M101" s="166" t="str">
        <f t="shared" si="10"/>
        <v/>
      </c>
      <c r="N101" s="173"/>
      <c r="O101" s="173"/>
      <c r="P101" s="166" t="str">
        <f t="shared" si="11"/>
        <v/>
      </c>
      <c r="Q101" s="213" t="str">
        <f t="shared" si="12"/>
        <v/>
      </c>
      <c r="R101" s="173"/>
      <c r="S101" s="173"/>
      <c r="T101" s="217"/>
      <c r="U101" s="215" t="str">
        <f t="shared" si="13"/>
        <v/>
      </c>
      <c r="V101" s="218"/>
      <c r="Y101" s="219" t="str">
        <f t="shared" si="14"/>
        <v/>
      </c>
    </row>
    <row r="102" spans="1:25">
      <c r="A102" s="57">
        <f t="shared" si="7"/>
        <v>92</v>
      </c>
      <c r="B102" s="173"/>
      <c r="C102" s="258"/>
      <c r="D102" s="261"/>
      <c r="E102" s="262"/>
      <c r="F102" s="172"/>
      <c r="G102" s="171"/>
      <c r="H102" s="174"/>
      <c r="I102" s="193" t="str">
        <f t="shared" si="8"/>
        <v/>
      </c>
      <c r="J102" s="194" t="str">
        <f t="shared" si="9"/>
        <v/>
      </c>
      <c r="K102" s="195"/>
      <c r="L102" s="196"/>
      <c r="M102" s="166" t="str">
        <f t="shared" si="10"/>
        <v/>
      </c>
      <c r="N102" s="174"/>
      <c r="O102" s="174"/>
      <c r="P102" s="166" t="str">
        <f t="shared" si="11"/>
        <v/>
      </c>
      <c r="Q102" s="213" t="str">
        <f t="shared" si="12"/>
        <v/>
      </c>
      <c r="R102" s="174"/>
      <c r="S102" s="174"/>
      <c r="T102" s="214"/>
      <c r="U102" s="215" t="str">
        <f t="shared" si="13"/>
        <v/>
      </c>
      <c r="V102" s="216"/>
      <c r="Y102" s="219" t="str">
        <f t="shared" si="14"/>
        <v/>
      </c>
    </row>
    <row r="103" spans="1:25">
      <c r="A103" s="165">
        <f t="shared" si="7"/>
        <v>93</v>
      </c>
      <c r="B103" s="174"/>
      <c r="C103" s="257"/>
      <c r="D103" s="259"/>
      <c r="E103" s="260"/>
      <c r="F103" s="170"/>
      <c r="G103" s="164"/>
      <c r="H103" s="173"/>
      <c r="I103" s="193" t="str">
        <f t="shared" si="8"/>
        <v/>
      </c>
      <c r="J103" s="194" t="str">
        <f t="shared" si="9"/>
        <v/>
      </c>
      <c r="K103" s="197"/>
      <c r="L103" s="198"/>
      <c r="M103" s="166" t="str">
        <f t="shared" si="10"/>
        <v/>
      </c>
      <c r="N103" s="173"/>
      <c r="O103" s="173"/>
      <c r="P103" s="166" t="str">
        <f t="shared" si="11"/>
        <v/>
      </c>
      <c r="Q103" s="213" t="str">
        <f t="shared" si="12"/>
        <v/>
      </c>
      <c r="R103" s="173"/>
      <c r="S103" s="173"/>
      <c r="T103" s="217"/>
      <c r="U103" s="215" t="str">
        <f t="shared" si="13"/>
        <v/>
      </c>
      <c r="V103" s="218"/>
      <c r="Y103" s="219" t="str">
        <f t="shared" si="14"/>
        <v/>
      </c>
    </row>
    <row r="104" spans="1:25">
      <c r="A104" s="57">
        <f t="shared" si="7"/>
        <v>94</v>
      </c>
      <c r="B104" s="173"/>
      <c r="C104" s="258"/>
      <c r="D104" s="261"/>
      <c r="E104" s="262"/>
      <c r="F104" s="172"/>
      <c r="G104" s="171"/>
      <c r="H104" s="174"/>
      <c r="I104" s="193" t="str">
        <f t="shared" si="8"/>
        <v/>
      </c>
      <c r="J104" s="194" t="str">
        <f t="shared" si="9"/>
        <v/>
      </c>
      <c r="K104" s="195"/>
      <c r="L104" s="196"/>
      <c r="M104" s="166" t="str">
        <f t="shared" si="10"/>
        <v/>
      </c>
      <c r="N104" s="174"/>
      <c r="O104" s="174"/>
      <c r="P104" s="166" t="str">
        <f t="shared" si="11"/>
        <v/>
      </c>
      <c r="Q104" s="213" t="str">
        <f t="shared" si="12"/>
        <v/>
      </c>
      <c r="R104" s="174"/>
      <c r="S104" s="174"/>
      <c r="T104" s="214"/>
      <c r="U104" s="215" t="str">
        <f t="shared" si="13"/>
        <v/>
      </c>
      <c r="V104" s="216"/>
      <c r="Y104" s="219" t="str">
        <f t="shared" si="14"/>
        <v/>
      </c>
    </row>
    <row r="105" spans="1:25">
      <c r="A105" s="165">
        <f t="shared" si="7"/>
        <v>95</v>
      </c>
      <c r="B105" s="174"/>
      <c r="C105" s="257"/>
      <c r="D105" s="259"/>
      <c r="E105" s="260"/>
      <c r="F105" s="170"/>
      <c r="G105" s="164"/>
      <c r="H105" s="173"/>
      <c r="I105" s="193" t="str">
        <f t="shared" si="8"/>
        <v/>
      </c>
      <c r="J105" s="194" t="str">
        <f t="shared" si="9"/>
        <v/>
      </c>
      <c r="K105" s="197"/>
      <c r="L105" s="198"/>
      <c r="M105" s="166" t="str">
        <f t="shared" si="10"/>
        <v/>
      </c>
      <c r="N105" s="173"/>
      <c r="O105" s="173"/>
      <c r="P105" s="166" t="str">
        <f t="shared" si="11"/>
        <v/>
      </c>
      <c r="Q105" s="213" t="str">
        <f t="shared" si="12"/>
        <v/>
      </c>
      <c r="R105" s="173"/>
      <c r="S105" s="173"/>
      <c r="T105" s="217"/>
      <c r="U105" s="215" t="str">
        <f t="shared" si="13"/>
        <v/>
      </c>
      <c r="V105" s="218"/>
      <c r="Y105" s="219" t="str">
        <f t="shared" si="14"/>
        <v/>
      </c>
    </row>
    <row r="106" spans="1:25">
      <c r="A106" s="57">
        <f t="shared" si="7"/>
        <v>96</v>
      </c>
      <c r="B106" s="173"/>
      <c r="C106" s="258"/>
      <c r="D106" s="261"/>
      <c r="E106" s="262"/>
      <c r="F106" s="172"/>
      <c r="G106" s="171"/>
      <c r="H106" s="174"/>
      <c r="I106" s="193" t="str">
        <f t="shared" si="8"/>
        <v/>
      </c>
      <c r="J106" s="194" t="str">
        <f t="shared" si="9"/>
        <v/>
      </c>
      <c r="K106" s="195"/>
      <c r="L106" s="196"/>
      <c r="M106" s="166" t="str">
        <f t="shared" si="10"/>
        <v/>
      </c>
      <c r="N106" s="174"/>
      <c r="O106" s="174"/>
      <c r="P106" s="166" t="str">
        <f t="shared" si="11"/>
        <v/>
      </c>
      <c r="Q106" s="213" t="str">
        <f t="shared" si="12"/>
        <v/>
      </c>
      <c r="R106" s="174"/>
      <c r="S106" s="174"/>
      <c r="T106" s="214"/>
      <c r="U106" s="215" t="str">
        <f t="shared" si="13"/>
        <v/>
      </c>
      <c r="V106" s="216"/>
      <c r="Y106" s="219" t="str">
        <f t="shared" si="14"/>
        <v/>
      </c>
    </row>
    <row r="107" spans="1:25">
      <c r="A107" s="165">
        <f t="shared" si="7"/>
        <v>97</v>
      </c>
      <c r="B107" s="174"/>
      <c r="C107" s="257"/>
      <c r="D107" s="259"/>
      <c r="E107" s="260"/>
      <c r="F107" s="170"/>
      <c r="G107" s="164"/>
      <c r="H107" s="173"/>
      <c r="I107" s="193" t="str">
        <f t="shared" si="8"/>
        <v/>
      </c>
      <c r="J107" s="194" t="str">
        <f t="shared" si="9"/>
        <v/>
      </c>
      <c r="K107" s="197"/>
      <c r="L107" s="198"/>
      <c r="M107" s="166" t="str">
        <f t="shared" si="10"/>
        <v/>
      </c>
      <c r="N107" s="173"/>
      <c r="O107" s="173"/>
      <c r="P107" s="166" t="str">
        <f t="shared" si="11"/>
        <v/>
      </c>
      <c r="Q107" s="213" t="str">
        <f t="shared" si="12"/>
        <v/>
      </c>
      <c r="R107" s="173"/>
      <c r="S107" s="173"/>
      <c r="T107" s="217"/>
      <c r="U107" s="215" t="str">
        <f t="shared" si="13"/>
        <v/>
      </c>
      <c r="V107" s="218"/>
      <c r="Y107" s="219" t="str">
        <f t="shared" si="14"/>
        <v/>
      </c>
    </row>
    <row r="108" spans="1:25">
      <c r="A108" s="57">
        <f t="shared" si="7"/>
        <v>98</v>
      </c>
      <c r="B108" s="173"/>
      <c r="C108" s="258"/>
      <c r="D108" s="261"/>
      <c r="E108" s="262"/>
      <c r="F108" s="172"/>
      <c r="G108" s="171"/>
      <c r="H108" s="174"/>
      <c r="I108" s="193" t="str">
        <f t="shared" si="8"/>
        <v/>
      </c>
      <c r="J108" s="194" t="str">
        <f t="shared" si="9"/>
        <v/>
      </c>
      <c r="K108" s="195"/>
      <c r="L108" s="196"/>
      <c r="M108" s="166" t="str">
        <f t="shared" si="10"/>
        <v/>
      </c>
      <c r="N108" s="174"/>
      <c r="O108" s="174"/>
      <c r="P108" s="166" t="str">
        <f t="shared" si="11"/>
        <v/>
      </c>
      <c r="Q108" s="213" t="str">
        <f t="shared" si="12"/>
        <v/>
      </c>
      <c r="R108" s="174"/>
      <c r="S108" s="174"/>
      <c r="T108" s="214"/>
      <c r="U108" s="215" t="str">
        <f t="shared" si="13"/>
        <v/>
      </c>
      <c r="V108" s="216"/>
      <c r="Y108" s="219" t="str">
        <f t="shared" si="14"/>
        <v/>
      </c>
    </row>
    <row r="109" spans="1:25">
      <c r="A109" s="165">
        <f t="shared" si="7"/>
        <v>99</v>
      </c>
      <c r="B109" s="174"/>
      <c r="C109" s="257"/>
      <c r="D109" s="259"/>
      <c r="E109" s="260"/>
      <c r="F109" s="170"/>
      <c r="G109" s="164"/>
      <c r="H109" s="173"/>
      <c r="I109" s="193" t="str">
        <f t="shared" si="8"/>
        <v/>
      </c>
      <c r="J109" s="194" t="str">
        <f t="shared" si="9"/>
        <v/>
      </c>
      <c r="K109" s="197"/>
      <c r="L109" s="198"/>
      <c r="M109" s="166" t="str">
        <f t="shared" si="10"/>
        <v/>
      </c>
      <c r="N109" s="173"/>
      <c r="O109" s="173"/>
      <c r="P109" s="166" t="str">
        <f t="shared" si="11"/>
        <v/>
      </c>
      <c r="Q109" s="213" t="str">
        <f t="shared" si="12"/>
        <v/>
      </c>
      <c r="R109" s="173"/>
      <c r="S109" s="173"/>
      <c r="T109" s="217"/>
      <c r="U109" s="215" t="str">
        <f t="shared" si="13"/>
        <v/>
      </c>
      <c r="V109" s="218"/>
      <c r="Y109" s="219" t="str">
        <f t="shared" si="14"/>
        <v/>
      </c>
    </row>
    <row r="110" spans="1:25">
      <c r="A110" s="220">
        <v>100</v>
      </c>
      <c r="B110" s="263"/>
      <c r="C110" s="264"/>
      <c r="D110" s="265"/>
      <c r="E110" s="266"/>
      <c r="F110" s="225"/>
      <c r="G110" s="226"/>
      <c r="H110" s="227"/>
      <c r="I110" s="228" t="str">
        <f t="shared" si="8"/>
        <v/>
      </c>
      <c r="J110" s="229" t="str">
        <f t="shared" si="9"/>
        <v/>
      </c>
      <c r="K110" s="230"/>
      <c r="L110" s="231"/>
      <c r="M110" s="232" t="str">
        <f t="shared" si="10"/>
        <v/>
      </c>
      <c r="N110" s="227"/>
      <c r="O110" s="227"/>
      <c r="P110" s="232" t="str">
        <f t="shared" si="11"/>
        <v/>
      </c>
      <c r="Q110" s="233" t="str">
        <f t="shared" si="12"/>
        <v/>
      </c>
      <c r="R110" s="227"/>
      <c r="S110" s="227"/>
      <c r="T110" s="234"/>
      <c r="U110" s="235" t="str">
        <f t="shared" si="13"/>
        <v/>
      </c>
      <c r="V110" s="236"/>
      <c r="Y110" s="219" t="str">
        <f t="shared" si="14"/>
        <v/>
      </c>
    </row>
  </sheetData>
  <sheetProtection algorithmName="SHA-512" hashValue="t+xbHd8G9WiVDmEyKGPRz5qMqsdxiTO+9h2Yw0OT1F8OywqFNZ0iOsX5cQ2Q4bdd193Fb8U14Yza1wdu8vqv0A==" saltValue="8xja6o5/n8EMh/YffUt+UA==" spinCount="100000" sheet="1" objects="1" scenarios="1" formatColumns="0" formatRows="0" selectLockedCells="1" autoFilter="0"/>
  <autoFilter ref="C10:U110" xr:uid="{00000000-0009-0000-0000-000000000000}"/>
  <mergeCells count="25">
    <mergeCell ref="P8:P9"/>
    <mergeCell ref="U6:V9"/>
    <mergeCell ref="F5:I6"/>
    <mergeCell ref="K5:P6"/>
    <mergeCell ref="Q6:T9"/>
    <mergeCell ref="N8:O9"/>
    <mergeCell ref="N10:O10"/>
    <mergeCell ref="F7:F9"/>
    <mergeCell ref="G7:G9"/>
    <mergeCell ref="H7:H9"/>
    <mergeCell ref="I7:I9"/>
    <mergeCell ref="J5:J9"/>
    <mergeCell ref="K8:K9"/>
    <mergeCell ref="L8:L9"/>
    <mergeCell ref="M8:M9"/>
    <mergeCell ref="A7:B7"/>
    <mergeCell ref="D7:E7"/>
    <mergeCell ref="N7:O7"/>
    <mergeCell ref="A8:B8"/>
    <mergeCell ref="A9:B9"/>
    <mergeCell ref="A3:B3"/>
    <mergeCell ref="A4:B4"/>
    <mergeCell ref="G4:H4"/>
    <mergeCell ref="A5:B5"/>
    <mergeCell ref="A6:B6"/>
  </mergeCells>
  <conditionalFormatting sqref="C5">
    <cfRule type="containsText" dxfId="37" priority="39" operator="containsText" text="[enter school school id here]">
      <formula>NOT(ISERROR(SEARCH("[enter school school id here]",C5)))</formula>
    </cfRule>
  </conditionalFormatting>
  <conditionalFormatting sqref="C6">
    <cfRule type="containsText" dxfId="36" priority="41" operator="containsText" text="[enter teacher name here]">
      <formula>NOT(ISERROR(SEARCH("[enter teacher name here]",C6)))</formula>
    </cfRule>
  </conditionalFormatting>
  <conditionalFormatting sqref="C9">
    <cfRule type="containsText" dxfId="35" priority="18" operator="containsText" text="[choose language here]">
      <formula>NOT(ISERROR(SEARCH("[choose language here]",C9)))</formula>
    </cfRule>
  </conditionalFormatting>
  <conditionalFormatting sqref="D9:E9">
    <cfRule type="expression" dxfId="34" priority="6">
      <formula>$X$9=1</formula>
    </cfRule>
  </conditionalFormatting>
  <conditionalFormatting sqref="G11:G110">
    <cfRule type="expression" dxfId="33" priority="1">
      <formula>$F11&gt;6</formula>
    </cfRule>
  </conditionalFormatting>
  <conditionalFormatting sqref="H11:H110">
    <cfRule type="expression" dxfId="32" priority="9">
      <formula>$F11&lt;7</formula>
    </cfRule>
  </conditionalFormatting>
  <conditionalFormatting sqref="I4">
    <cfRule type="cellIs" dxfId="31" priority="17" operator="notEqual">
      <formula>$F$4</formula>
    </cfRule>
    <cfRule type="cellIs" dxfId="30" priority="48" operator="lessThan">
      <formula>#REF!+#REF!</formula>
    </cfRule>
    <cfRule type="cellIs" dxfId="29" priority="49" operator="lessThan">
      <formula>#REF!+#REF!</formula>
    </cfRule>
  </conditionalFormatting>
  <conditionalFormatting sqref="J11:J110">
    <cfRule type="containsText" dxfId="28" priority="5" operator="containsText" text="Full">
      <formula>NOT(ISERROR(SEARCH("Full",J11)))</formula>
    </cfRule>
  </conditionalFormatting>
  <conditionalFormatting sqref="K11:T110">
    <cfRule type="expression" dxfId="27" priority="7">
      <formula>$J11="Full Refresher"</formula>
    </cfRule>
  </conditionalFormatting>
  <conditionalFormatting sqref="U11:U110">
    <cfRule type="containsText" dxfId="26" priority="2" operator="containsText" text="Grade Level">
      <formula>NOT(ISERROR(SEARCH("Grade Level",U11)))</formula>
    </cfRule>
    <cfRule type="containsText" dxfId="25" priority="3" operator="containsText" text="High Emerging">
      <formula>NOT(ISERROR(SEARCH("High Emerging",U11)))</formula>
    </cfRule>
    <cfRule type="containsText" dxfId="24" priority="4" operator="containsText" text="Low">
      <formula>NOT(ISERROR(SEARCH("Low",U11)))</formula>
    </cfRule>
    <cfRule type="expression" dxfId="23" priority="8">
      <formula>AND($J11="Grade Ready",#REF!="Full Intervention")</formula>
    </cfRule>
  </conditionalFormatting>
  <dataValidations count="21">
    <dataValidation type="list" allowBlank="1" showInputMessage="1" showErrorMessage="1" sqref="C3" xr:uid="{00000000-0002-0000-0000-000000000000}">
      <formula1>"BoSY, MoSY, EoSY"</formula1>
    </dataValidation>
    <dataValidation type="whole" allowBlank="1" showInputMessage="1" showErrorMessage="1" error="Enter the 6-digit School ID" sqref="C4 A5" xr:uid="{00000000-0002-0000-0000-000001000000}">
      <formula1>100000</formula1>
      <formula2>999999</formula2>
    </dataValidation>
    <dataValidation allowBlank="1" showInputMessage="1" showErrorMessage="1" prompt="Choose Language here" sqref="G4" xr:uid="{00000000-0002-0000-0000-000002000000}"/>
    <dataValidation allowBlank="1" showInputMessage="1" showErrorMessage="1" sqref="I4" xr:uid="{00000000-0002-0000-0000-000003000000}"/>
    <dataValidation type="textLength" operator="greaterThan" showInputMessage="1" showErrorMessage="1" error="Enter School Name" sqref="C5" xr:uid="{00000000-0002-0000-0000-000004000000}">
      <formula1>5</formula1>
    </dataValidation>
    <dataValidation type="whole" allowBlank="1" showInputMessage="1" showErrorMessage="1" sqref="D6:E6" xr:uid="{00000000-0002-0000-0000-000005000000}">
      <formula1>0</formula1>
      <formula2>100</formula2>
    </dataValidation>
    <dataValidation type="whole" allowBlank="1" showInputMessage="1" showErrorMessage="1" error="Total Words per Story must be between 94 to 96" sqref="D9:E9" xr:uid="{00000000-0002-0000-0000-000007000000}">
      <formula1>94</formula1>
      <formula2>96</formula2>
    </dataValidation>
    <dataValidation allowBlank="1" showInputMessage="1" showErrorMessage="1" error="Enter Level between 1 to 4" sqref="U11:V11 U12:U110" xr:uid="{00000000-0002-0000-0000-000008000000}"/>
    <dataValidation type="list" allowBlank="1" showInputMessage="1" showErrorMessage="1" sqref="D11:D110" xr:uid="{00000000-0002-0000-0000-000009000000}">
      <formula1>"Male, Female"</formula1>
    </dataValidation>
    <dataValidation type="date" errorStyle="warning" allowBlank="1" showInputMessage="1" showErrorMessage="1" error="Enter the Date of Assessment in Correct Format (mm/dd/yy)" sqref="E11:E110" xr:uid="{00000000-0002-0000-0000-00000A000000}">
      <formula1>44197</formula1>
      <formula2>55153</formula2>
    </dataValidation>
    <dataValidation type="whole" allowBlank="1" showInputMessage="1" showErrorMessage="1" error="Enter Score between 0 to 10" sqref="F11:F110" xr:uid="{00000000-0002-0000-0000-00000B000000}">
      <formula1>0</formula1>
      <formula2>10</formula2>
    </dataValidation>
    <dataValidation type="custom" allowBlank="1" showInputMessage="1" showErrorMessage="1" errorTitle="Error Message" error="Enter value less than equal to10_x000a_If Task 1 score is greater than 6, Words should be left blank or empty." sqref="G11:G110" xr:uid="{00000000-0002-0000-0000-00000C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000-00000D000000}">
      <formula1>AND($F11&gt;6,$H11&lt;11)</formula1>
    </dataValidation>
    <dataValidation type="whole" allowBlank="1" showInputMessage="1" showErrorMessage="1" error="Story 1 or 2" sqref="K11:K110" xr:uid="{00000000-0002-0000-0000-00000E000000}">
      <formula1>1</formula1>
      <formula2>2</formula2>
    </dataValidation>
    <dataValidation type="whole" allowBlank="1" showInputMessage="1" showErrorMessage="1" error="Enter Number of Miscue" sqref="L11:L110" xr:uid="{00000000-0002-0000-0000-00000F000000}">
      <formula1>0</formula1>
      <formula2>96</formula2>
    </dataValidation>
    <dataValidation allowBlank="1" showInputMessage="1" showErrorMessage="1" errorTitle="Error Message" error="Total Number of Words must be less than or equal to 96" sqref="M11:M110" xr:uid="{00000000-0002-0000-0000-000010000000}"/>
    <dataValidation type="whole" allowBlank="1" showInputMessage="1" showErrorMessage="1" errorTitle="Error Message" error="Must not exceed 2 minutes" sqref="N11:N110" xr:uid="{00000000-0002-0000-0000-000011000000}">
      <formula1>0</formula1>
      <formula2>2</formula2>
    </dataValidation>
    <dataValidation type="whole" allowBlank="1" showInputMessage="1" showErrorMessage="1" errorTitle="Error Message" error="Number of seconds between 0 to 59" sqref="O11:O110" xr:uid="{00000000-0002-0000-0000-000012000000}">
      <formula1>0</formula1>
      <formula2>59</formula2>
    </dataValidation>
    <dataValidation type="whole" allowBlank="1" showInputMessage="1" showErrorMessage="1" error="Enter Answer between 0 to 6" sqref="R11:R110" xr:uid="{00000000-0002-0000-0000-000013000000}">
      <formula1>0</formula1>
      <formula2>6</formula2>
    </dataValidation>
    <dataValidation type="whole" allowBlank="1" showInputMessage="1" showErrorMessage="1" error="Enter Leaner Experience from 1 - 5" sqref="S11:S110" xr:uid="{00000000-0002-0000-0000-000014000000}">
      <formula1>1</formula1>
      <formula2>5</formula2>
    </dataValidation>
    <dataValidation type="list" allowBlank="1" showInputMessage="1" showErrorMessage="1" error="Enter Level between 1 to 4" sqref="T11:T110" xr:uid="{00000000-0002-0000-0000-000015000000}">
      <formula1>"Level 1, Level 2, Level 3, Level 4"</formula1>
    </dataValidation>
  </dataValidations>
  <pageMargins left="0.25" right="0.25" top="0.75" bottom="0.75" header="0.3" footer="0.3"/>
  <pageSetup paperSize="256" scale="56"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Choose Language here" xr:uid="{00000000-0002-0000-0000-000006000000}">
          <x14:formula1>
            <xm:f>List!$C$2:$C$35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XFC115"/>
  <sheetViews>
    <sheetView zoomScale="60" zoomScaleNormal="70" workbookViewId="0">
      <pane xSplit="3" ySplit="10" topLeftCell="D11" activePane="bottomRight" state="frozen"/>
      <selection pane="bottomRight" activeCell="K21" sqref="K21"/>
      <selection pane="bottomLeft"/>
      <selection pane="topRight"/>
    </sheetView>
  </sheetViews>
  <sheetFormatPr defaultColWidth="10.625" defaultRowHeight="14.45" customHeight="1" zeroHeight="1"/>
  <cols>
    <col min="1" max="1" width="4.875" customWidth="1"/>
    <col min="2" max="2" width="15.5" style="2" customWidth="1"/>
    <col min="3" max="3" width="28.5" customWidth="1"/>
    <col min="4" max="4" width="12.125" style="1" customWidth="1"/>
    <col min="5" max="5" width="11.625" style="1" customWidth="1"/>
    <col min="6" max="6" width="10.375" style="1" customWidth="1"/>
    <col min="7" max="7" width="10.5" style="1" customWidth="1"/>
    <col min="8" max="8" width="9.5" style="1" customWidth="1"/>
    <col min="9" max="9" width="9.125" style="1" customWidth="1"/>
    <col min="10" max="10" width="19.625" style="139" customWidth="1"/>
    <col min="11" max="11" width="10" style="1" customWidth="1"/>
    <col min="12" max="12" width="8.625" style="1" customWidth="1"/>
    <col min="13" max="13" width="9.5" style="1" customWidth="1"/>
    <col min="14" max="14" width="6.125" style="1" customWidth="1"/>
    <col min="15" max="15" width="5.125" style="1" customWidth="1"/>
    <col min="16" max="16" width="10.375" style="1" customWidth="1"/>
    <col min="17" max="17" width="9.5" style="1" customWidth="1"/>
    <col min="18" max="18" width="10.875" style="1" customWidth="1"/>
    <col min="19" max="19" width="11.875" style="1" customWidth="1"/>
    <col min="20" max="20" width="10.875" style="1" customWidth="1"/>
    <col min="21" max="21" width="21" style="1" customWidth="1"/>
    <col min="22" max="22" width="34" customWidth="1"/>
    <col min="23" max="23" width="8.875" customWidth="1"/>
    <col min="24" max="16383" width="10.625" hidden="1" customWidth="1"/>
  </cols>
  <sheetData>
    <row r="1" spans="1:26" ht="22.35" customHeight="1">
      <c r="A1" t="str">
        <f>'G2 MT Reading Scoresheet'!$A$1</f>
        <v>CRLA2v1</v>
      </c>
    </row>
    <row r="2" spans="1:26" ht="18" customHeight="1"/>
    <row r="3" spans="1:26" ht="27" customHeight="1">
      <c r="A3" s="285" t="s">
        <v>1</v>
      </c>
      <c r="B3" s="286"/>
      <c r="C3" s="140" t="str">
        <f>'G2 MT Reading Scoresheet'!$C$3</f>
        <v>EoSY</v>
      </c>
    </row>
    <row r="4" spans="1:26" ht="18.600000000000001" customHeight="1">
      <c r="A4" s="287" t="s">
        <v>3</v>
      </c>
      <c r="B4" s="288"/>
      <c r="C4" s="141">
        <f>'G2 MT Reading Scoresheet'!C4</f>
        <v>117443</v>
      </c>
      <c r="D4" s="329" t="s">
        <v>4</v>
      </c>
      <c r="E4" s="330"/>
      <c r="F4" s="142">
        <f>D6+E6</f>
        <v>13</v>
      </c>
      <c r="G4" s="289" t="s">
        <v>5</v>
      </c>
      <c r="H4" s="289"/>
      <c r="I4" s="178">
        <f>COUNTIF(F11:F110,"&lt;&gt;")</f>
        <v>13</v>
      </c>
      <c r="J4" s="179"/>
      <c r="K4" s="180"/>
      <c r="L4" s="180"/>
      <c r="M4" s="180"/>
      <c r="N4" s="180"/>
      <c r="O4" s="180"/>
      <c r="P4" s="180"/>
      <c r="Q4" s="180"/>
      <c r="R4" s="180"/>
      <c r="S4" s="180"/>
      <c r="T4" s="180"/>
      <c r="U4" s="180"/>
      <c r="V4" s="201"/>
    </row>
    <row r="5" spans="1:26" ht="18" customHeight="1">
      <c r="A5" s="290" t="s">
        <v>6</v>
      </c>
      <c r="B5" s="331"/>
      <c r="C5" s="143" t="str">
        <f>'G2 MT Reading Scoresheet'!C5</f>
        <v>ROMANA ELEMETARY SCHOOL</v>
      </c>
      <c r="D5" s="144" t="s">
        <v>8</v>
      </c>
      <c r="E5" s="145" t="s">
        <v>9</v>
      </c>
      <c r="F5" s="333" t="s">
        <v>10</v>
      </c>
      <c r="G5" s="334"/>
      <c r="H5" s="334"/>
      <c r="I5" s="334"/>
      <c r="J5" s="305" t="s">
        <v>71</v>
      </c>
      <c r="K5" s="317" t="s">
        <v>12</v>
      </c>
      <c r="L5" s="318"/>
      <c r="M5" s="318"/>
      <c r="N5" s="318"/>
      <c r="O5" s="318"/>
      <c r="P5" s="318"/>
      <c r="Q5" s="202"/>
      <c r="R5" s="202"/>
      <c r="S5" s="202"/>
      <c r="T5" s="202"/>
      <c r="U5" s="202"/>
      <c r="V5" s="203"/>
    </row>
    <row r="6" spans="1:26" ht="19.7" customHeight="1">
      <c r="A6" s="292" t="s">
        <v>13</v>
      </c>
      <c r="B6" s="293"/>
      <c r="C6" s="143" t="str">
        <f>'G2 MT Reading Scoresheet'!C6</f>
        <v>MARICAR F. JOAQUIN</v>
      </c>
      <c r="D6" s="146">
        <f>'G2 MT Reading Scoresheet'!D6</f>
        <v>5</v>
      </c>
      <c r="E6" s="147">
        <f>'G2 MT Reading Scoresheet'!E6</f>
        <v>8</v>
      </c>
      <c r="F6" s="335"/>
      <c r="G6" s="336"/>
      <c r="H6" s="336"/>
      <c r="I6" s="336"/>
      <c r="J6" s="306"/>
      <c r="K6" s="319"/>
      <c r="L6" s="320"/>
      <c r="M6" s="320"/>
      <c r="N6" s="320"/>
      <c r="O6" s="320"/>
      <c r="P6" s="320"/>
      <c r="Q6" s="321"/>
      <c r="R6" s="322"/>
      <c r="S6" s="322"/>
      <c r="T6" s="323"/>
      <c r="U6" s="311"/>
      <c r="V6" s="312"/>
    </row>
    <row r="7" spans="1:26" ht="29.45" customHeight="1">
      <c r="A7" s="292" t="s">
        <v>15</v>
      </c>
      <c r="B7" s="293"/>
      <c r="C7" s="143" t="str">
        <f>'G2 MT Reading Scoresheet'!C7</f>
        <v>Grade 2</v>
      </c>
      <c r="D7" s="337" t="s">
        <v>17</v>
      </c>
      <c r="E7" s="338"/>
      <c r="F7" s="301" t="s">
        <v>18</v>
      </c>
      <c r="G7" s="303" t="s">
        <v>19</v>
      </c>
      <c r="H7" s="303" t="s">
        <v>20</v>
      </c>
      <c r="I7" s="303" t="s">
        <v>21</v>
      </c>
      <c r="J7" s="306"/>
      <c r="K7" s="181" t="s">
        <v>22</v>
      </c>
      <c r="L7" s="182" t="s">
        <v>23</v>
      </c>
      <c r="M7" s="183">
        <f>_xlfn.IFNA(IF(X9=1,Y9,D9),"")</f>
        <v>96</v>
      </c>
      <c r="N7" s="296" t="s">
        <v>24</v>
      </c>
      <c r="O7" s="296"/>
      <c r="P7" s="183">
        <f>_xlfn.IFNA(IF(X9=1,Z9,E9),"")</f>
        <v>95</v>
      </c>
      <c r="Q7" s="324"/>
      <c r="R7" s="311"/>
      <c r="S7" s="311"/>
      <c r="T7" s="312"/>
      <c r="U7" s="311"/>
      <c r="V7" s="312"/>
    </row>
    <row r="8" spans="1:26" ht="17.45" customHeight="1">
      <c r="A8" s="292" t="s">
        <v>25</v>
      </c>
      <c r="B8" s="293"/>
      <c r="C8" s="143">
        <f>'G2 MT Reading Scoresheet'!C8</f>
        <v>1</v>
      </c>
      <c r="D8" s="148" t="s">
        <v>23</v>
      </c>
      <c r="E8" s="149" t="s">
        <v>24</v>
      </c>
      <c r="F8" s="332"/>
      <c r="G8" s="304"/>
      <c r="H8" s="304"/>
      <c r="I8" s="304"/>
      <c r="J8" s="306"/>
      <c r="K8" s="301" t="s">
        <v>26</v>
      </c>
      <c r="L8" s="303" t="s">
        <v>27</v>
      </c>
      <c r="M8" s="303" t="s">
        <v>28</v>
      </c>
      <c r="N8" s="325" t="s">
        <v>29</v>
      </c>
      <c r="O8" s="326"/>
      <c r="P8" s="309" t="s">
        <v>30</v>
      </c>
      <c r="Q8" s="324"/>
      <c r="R8" s="311"/>
      <c r="S8" s="311"/>
      <c r="T8" s="312"/>
      <c r="U8" s="311"/>
      <c r="V8" s="312"/>
    </row>
    <row r="9" spans="1:26" ht="20.45" customHeight="1">
      <c r="A9" s="297" t="s">
        <v>31</v>
      </c>
      <c r="B9" s="298"/>
      <c r="C9" s="150" t="s">
        <v>72</v>
      </c>
      <c r="D9" s="151"/>
      <c r="E9" s="152"/>
      <c r="F9" s="307"/>
      <c r="G9" s="308"/>
      <c r="H9" s="308"/>
      <c r="I9" s="308"/>
      <c r="J9" s="306"/>
      <c r="K9" s="307"/>
      <c r="L9" s="308"/>
      <c r="M9" s="308"/>
      <c r="N9" s="327"/>
      <c r="O9" s="328"/>
      <c r="P9" s="310"/>
      <c r="Q9" s="324"/>
      <c r="R9" s="311"/>
      <c r="S9" s="311"/>
      <c r="T9" s="312"/>
      <c r="U9" s="311"/>
      <c r="V9" s="312"/>
      <c r="X9" s="204">
        <f>IF(_xlfn.IFNA(VLOOKUP($C$9,List!$G$2:$M$20,1,0),"")=C9,1,0)</f>
        <v>1</v>
      </c>
      <c r="Y9" s="204">
        <f>VLOOKUP($C$9,List!$G$2:$M$20,4,0)</f>
        <v>96</v>
      </c>
      <c r="Z9" s="204">
        <f>VLOOKUP($C$9,List!$G$2:$M$20,7,0)</f>
        <v>95</v>
      </c>
    </row>
    <row r="10" spans="1:26" ht="35.450000000000003" customHeight="1">
      <c r="A10" s="153" t="s">
        <v>33</v>
      </c>
      <c r="B10" s="154" t="s">
        <v>34</v>
      </c>
      <c r="C10" s="155" t="s">
        <v>35</v>
      </c>
      <c r="D10" s="156" t="s">
        <v>36</v>
      </c>
      <c r="E10" s="157" t="s">
        <v>37</v>
      </c>
      <c r="F10" s="158" t="s">
        <v>38</v>
      </c>
      <c r="G10" s="159" t="s">
        <v>73</v>
      </c>
      <c r="H10" s="159" t="s">
        <v>74</v>
      </c>
      <c r="I10" s="159" t="s">
        <v>41</v>
      </c>
      <c r="J10" s="184" t="s">
        <v>42</v>
      </c>
      <c r="K10" s="185" t="s">
        <v>43</v>
      </c>
      <c r="L10" s="186" t="s">
        <v>44</v>
      </c>
      <c r="M10" s="187" t="s">
        <v>45</v>
      </c>
      <c r="N10" s="299" t="s">
        <v>46</v>
      </c>
      <c r="O10" s="299"/>
      <c r="P10" s="187" t="s">
        <v>47</v>
      </c>
      <c r="Q10" s="205" t="s">
        <v>48</v>
      </c>
      <c r="R10" s="187" t="s">
        <v>49</v>
      </c>
      <c r="S10" s="205" t="s">
        <v>50</v>
      </c>
      <c r="T10" s="206" t="s">
        <v>51</v>
      </c>
      <c r="U10" s="207" t="s">
        <v>52</v>
      </c>
      <c r="V10" s="208" t="s">
        <v>53</v>
      </c>
    </row>
    <row r="11" spans="1:26">
      <c r="A11" s="64">
        <v>1</v>
      </c>
      <c r="B11" s="160">
        <f>IF('G2 MT Reading Scoresheet'!B11&lt;&gt;"",'G2 MT Reading Scoresheet'!B11,"")</f>
        <v>117443230001</v>
      </c>
      <c r="C11" s="161" t="str">
        <f>IF('G2 MT Reading Scoresheet'!C11&lt;&gt;"",'G2 MT Reading Scoresheet'!C11,"")</f>
        <v>BARGASA, REY JOHN V.</v>
      </c>
      <c r="D11" s="160" t="str">
        <f>IF('G2 MT Reading Scoresheet'!D11&lt;&gt;"",'G2 MT Reading Scoresheet'!D11,"")</f>
        <v>Male</v>
      </c>
      <c r="E11" s="162">
        <f>IF('G2 MT Reading Scoresheet'!E11&lt;&gt;"",'G2 MT Reading Scoresheet'!E11,"")</f>
        <v>46079</v>
      </c>
      <c r="F11" s="163">
        <v>10</v>
      </c>
      <c r="G11" s="164"/>
      <c r="H11" s="164">
        <v>9</v>
      </c>
      <c r="I11" s="188">
        <f>IF(AND(F11="",G11=""),"",IF(F11&lt;7,F11+G11,F11+10+H11))</f>
        <v>29</v>
      </c>
      <c r="J11" s="189" t="str">
        <f>IF(I11="","",IF(F11&lt;7,IF(I11&lt;=10,"Full Refresher","Moderate Refresher"),IF(I11&lt;27,"Light Refresher","Grade Ready")))</f>
        <v>Grade Ready</v>
      </c>
      <c r="K11" s="190">
        <v>2</v>
      </c>
      <c r="L11" s="191">
        <v>25</v>
      </c>
      <c r="M11" s="160">
        <f>IF(OR(K11=1,K11=2),IF(K11=1,M$7-L11,$P$7-L11),"")</f>
        <v>70</v>
      </c>
      <c r="N11" s="192">
        <v>2</v>
      </c>
      <c r="O11" s="192">
        <v>0</v>
      </c>
      <c r="P11" s="160">
        <f>IF(AND(K11&gt;0,M11&gt;0,OR(N11&gt;0,O11&gt;0)),(M11/((N11*60)+O11))*60,"")</f>
        <v>35</v>
      </c>
      <c r="Q11" s="209">
        <f>IFERROR(IF(OR(K11=1,K11=2),IF(K11=1,M11/$M$7,M11/$P$7),""),"")</f>
        <v>0.73684210526315785</v>
      </c>
      <c r="R11" s="192">
        <v>4</v>
      </c>
      <c r="S11" s="192">
        <v>5</v>
      </c>
      <c r="T11" s="210" t="s">
        <v>55</v>
      </c>
      <c r="U11" s="211" t="str">
        <f>IF(J11&lt;&gt;"",IF(J11="Full Refresher","Low Emerging Reader",IF(AND(K11&gt;0,Q11&lt;&gt;""),IF(OR(Q11&lt;=25%,AND(Q11&gt;25%,Q11&lt;=50%,R11=0)),"High Emerging Reader",IF(OR(AND(Q11&gt;25%,Q11&lt;51%,R11&gt;=1),AND(Q11&gt;50%,Q11&lt;76%,R11&lt;=2)),"Developing Reader",IF(OR(AND(Q11&gt;=51%,Q11&lt;76%,R11&gt;=3),AND(Q11&gt;75%,R11&lt;=4)),"Transitioning Reader",IF(AND(Q11&gt;75%,R11&gt;=5),"Reading At Grade Level","")))),"")),"")</f>
        <v>Transitioning Reader</v>
      </c>
      <c r="V11" s="212"/>
      <c r="Y11" s="219">
        <f>IF(C11&lt;&gt;"",R11/6,"")</f>
        <v>0.66666666666666663</v>
      </c>
    </row>
    <row r="12" spans="1:26">
      <c r="A12" s="165">
        <v>2</v>
      </c>
      <c r="B12" s="166">
        <f>IF('G2 MT Reading Scoresheet'!B12&lt;&gt;"",'G2 MT Reading Scoresheet'!B12,"")</f>
        <v>117443240001</v>
      </c>
      <c r="C12" s="167" t="str">
        <f>IF('G2 MT Reading Scoresheet'!C12&lt;&gt;"",'G2 MT Reading Scoresheet'!C12,"")</f>
        <v xml:space="preserve">BESANES, ZANDER G. </v>
      </c>
      <c r="D12" s="168" t="str">
        <f>IF('G2 MT Reading Scoresheet'!D12&lt;&gt;"",'G2 MT Reading Scoresheet'!D12,"")</f>
        <v>Male</v>
      </c>
      <c r="E12" s="169">
        <f>IF('G2 MT Reading Scoresheet'!E12&lt;&gt;"",'G2 MT Reading Scoresheet'!E12,"")</f>
        <v>46080</v>
      </c>
      <c r="F12" s="170">
        <v>1</v>
      </c>
      <c r="G12" s="171">
        <v>1</v>
      </c>
      <c r="H12" s="171">
        <v>10</v>
      </c>
      <c r="I12" s="193">
        <f t="shared" ref="I12:I75" si="0">IF(AND(F12="",G12=""),"",IF(F12&lt;7,F12+G12,F12+10+H12))</f>
        <v>2</v>
      </c>
      <c r="J12" s="194" t="str">
        <f t="shared" ref="J12:J75" si="1">IF(I12="","",IF(F12&lt;7,IF(I12&lt;=10,"Full Refresher","Moderate Refresher"),IF(I12&lt;27,"Light Refresher","Grade Ready")))</f>
        <v>Full Refresher</v>
      </c>
      <c r="K12" s="195"/>
      <c r="L12" s="196"/>
      <c r="M12" s="166" t="str">
        <f t="shared" ref="M12:M75" si="2">IF(OR(K12=1,K12=2),IF(K12=1,M$7-L12,$P$7-L12),"")</f>
        <v/>
      </c>
      <c r="N12" s="174"/>
      <c r="O12" s="174"/>
      <c r="P12" s="166" t="str">
        <f t="shared" ref="P12:P75" si="3">IF(AND(K12&gt;0,M12&gt;0,OR(N12&gt;0,O12&gt;0)),(M12/((N12*60)+O12))*60,"")</f>
        <v/>
      </c>
      <c r="Q12" s="213" t="str">
        <f t="shared" ref="Q12:Q75" si="4">IFERROR(IF(OR(K12=1,K12=2),IF(K12=1,M12/$M$7,M12/$P$7),""),"")</f>
        <v/>
      </c>
      <c r="R12" s="174"/>
      <c r="S12" s="174"/>
      <c r="T12" s="214"/>
      <c r="U12" s="215" t="str">
        <f t="shared" ref="U12:U75" si="5">IF(J12&lt;&gt;"",IF(J12="Full Refresher","Low Emerging Reader",IF(AND(K12&gt;0,Q12&lt;&gt;""),IF(OR(Q12&lt;=25%,AND(Q12&gt;25%,Q12&lt;=50%,R12=0)),"High Emerging Reader",IF(OR(AND(Q12&gt;25%,Q12&lt;51%,R12&gt;=1),AND(Q12&gt;50%,Q12&lt;76%,R12&lt;=2)),"Developing Reader",IF(OR(AND(Q12&gt;=51%,Q12&lt;76%,R12&gt;=3),AND(Q12&gt;75%,R12&lt;=4)),"Transitioning Reader",IF(AND(Q12&gt;75%,R12&gt;=5),"Reading At Grade Level","")))),"")),"")</f>
        <v>Low Emerging Reader</v>
      </c>
      <c r="V12" s="216"/>
      <c r="Y12" s="219">
        <f t="shared" ref="Y12:Y75" si="6">IF(C12&lt;&gt;"",R12/6,"")</f>
        <v>0</v>
      </c>
    </row>
    <row r="13" spans="1:26">
      <c r="A13" s="57">
        <v>3</v>
      </c>
      <c r="B13" s="166">
        <f>IF('G2 MT Reading Scoresheet'!B13&lt;&gt;"",'G2 MT Reading Scoresheet'!B13,"")</f>
        <v>117443230003</v>
      </c>
      <c r="C13" s="167" t="str">
        <f>IF('G2 MT Reading Scoresheet'!C13&lt;&gt;"",'G2 MT Reading Scoresheet'!C13,"")</f>
        <v xml:space="preserve">BERIZAL, KENT ANGELO C. </v>
      </c>
      <c r="D13" s="168" t="str">
        <f>IF('G2 MT Reading Scoresheet'!D13&lt;&gt;"",'G2 MT Reading Scoresheet'!D13,"")</f>
        <v>Male</v>
      </c>
      <c r="E13" s="169">
        <f>IF('G2 MT Reading Scoresheet'!E13&lt;&gt;"",'G2 MT Reading Scoresheet'!E13,"")</f>
        <v>46080</v>
      </c>
      <c r="F13" s="172">
        <v>10</v>
      </c>
      <c r="G13" s="164"/>
      <c r="H13" s="173">
        <v>10</v>
      </c>
      <c r="I13" s="193">
        <f t="shared" si="0"/>
        <v>30</v>
      </c>
      <c r="J13" s="194" t="str">
        <f t="shared" si="1"/>
        <v>Grade Ready</v>
      </c>
      <c r="K13" s="197">
        <v>2</v>
      </c>
      <c r="L13" s="198">
        <v>25</v>
      </c>
      <c r="M13" s="166">
        <f t="shared" si="2"/>
        <v>70</v>
      </c>
      <c r="N13" s="173">
        <v>2</v>
      </c>
      <c r="O13" s="173">
        <v>0</v>
      </c>
      <c r="P13" s="166">
        <f t="shared" si="3"/>
        <v>35</v>
      </c>
      <c r="Q13" s="213">
        <f t="shared" si="4"/>
        <v>0.73684210526315785</v>
      </c>
      <c r="R13" s="173">
        <v>4</v>
      </c>
      <c r="S13" s="173">
        <v>5</v>
      </c>
      <c r="T13" s="217" t="s">
        <v>55</v>
      </c>
      <c r="U13" s="215" t="str">
        <f t="shared" si="5"/>
        <v>Transitioning Reader</v>
      </c>
      <c r="V13" s="218"/>
      <c r="Y13" s="219">
        <f t="shared" si="6"/>
        <v>0.66666666666666663</v>
      </c>
    </row>
    <row r="14" spans="1:26">
      <c r="A14" s="165">
        <v>4</v>
      </c>
      <c r="B14" s="166">
        <f>IF('G2 MT Reading Scoresheet'!B14&lt;&gt;"",'G2 MT Reading Scoresheet'!B14,"")</f>
        <v>117443230005</v>
      </c>
      <c r="C14" s="167" t="str">
        <f>IF('G2 MT Reading Scoresheet'!C14&lt;&gt;"",'G2 MT Reading Scoresheet'!C14,"")</f>
        <v xml:space="preserve">DARAS, REYNASH R. </v>
      </c>
      <c r="D14" s="168" t="str">
        <f>IF('G2 MT Reading Scoresheet'!D14&lt;&gt;"",'G2 MT Reading Scoresheet'!D14,"")</f>
        <v>Male</v>
      </c>
      <c r="E14" s="169">
        <f>IF('G2 MT Reading Scoresheet'!E14&lt;&gt;"",'G2 MT Reading Scoresheet'!E14,"")</f>
        <v>46082</v>
      </c>
      <c r="F14" s="170">
        <v>10</v>
      </c>
      <c r="G14" s="171"/>
      <c r="H14" s="174">
        <v>9</v>
      </c>
      <c r="I14" s="193">
        <f t="shared" si="0"/>
        <v>29</v>
      </c>
      <c r="J14" s="194" t="str">
        <f t="shared" si="1"/>
        <v>Grade Ready</v>
      </c>
      <c r="K14" s="195">
        <v>2</v>
      </c>
      <c r="L14" s="196">
        <v>12</v>
      </c>
      <c r="M14" s="166">
        <f t="shared" si="2"/>
        <v>83</v>
      </c>
      <c r="N14" s="174">
        <v>2</v>
      </c>
      <c r="O14" s="174">
        <v>0</v>
      </c>
      <c r="P14" s="166">
        <f t="shared" si="3"/>
        <v>41.5</v>
      </c>
      <c r="Q14" s="213">
        <f t="shared" si="4"/>
        <v>0.87368421052631584</v>
      </c>
      <c r="R14" s="174">
        <v>2</v>
      </c>
      <c r="S14" s="174">
        <v>5</v>
      </c>
      <c r="T14" s="214" t="s">
        <v>59</v>
      </c>
      <c r="U14" s="215" t="str">
        <f t="shared" si="5"/>
        <v>Transitioning Reader</v>
      </c>
      <c r="V14" s="216"/>
      <c r="Y14" s="219">
        <f t="shared" si="6"/>
        <v>0.33333333333333331</v>
      </c>
    </row>
    <row r="15" spans="1:26">
      <c r="A15" s="57">
        <v>5</v>
      </c>
      <c r="B15" s="166">
        <f>IF('G2 MT Reading Scoresheet'!B15&lt;&gt;"",'G2 MT Reading Scoresheet'!B15,"")</f>
        <v>117443230014</v>
      </c>
      <c r="C15" s="167" t="str">
        <f>IF('G2 MT Reading Scoresheet'!C15&lt;&gt;"",'G2 MT Reading Scoresheet'!C15,"")</f>
        <v>ORTILANO, KLENT Y.</v>
      </c>
      <c r="D15" s="168" t="str">
        <f>IF('G2 MT Reading Scoresheet'!D15&lt;&gt;"",'G2 MT Reading Scoresheet'!D15,"")</f>
        <v>Male</v>
      </c>
      <c r="E15" s="169">
        <f>IF('G2 MT Reading Scoresheet'!E15&lt;&gt;"",'G2 MT Reading Scoresheet'!E15,"")</f>
        <v>46083</v>
      </c>
      <c r="F15" s="172">
        <v>10</v>
      </c>
      <c r="G15" s="164"/>
      <c r="H15" s="173">
        <v>10</v>
      </c>
      <c r="I15" s="193">
        <f t="shared" si="0"/>
        <v>30</v>
      </c>
      <c r="J15" s="194" t="str">
        <f t="shared" si="1"/>
        <v>Grade Ready</v>
      </c>
      <c r="K15" s="197">
        <v>1</v>
      </c>
      <c r="L15" s="198">
        <v>6</v>
      </c>
      <c r="M15" s="166">
        <f t="shared" si="2"/>
        <v>90</v>
      </c>
      <c r="N15" s="173">
        <v>2</v>
      </c>
      <c r="O15" s="173">
        <v>0</v>
      </c>
      <c r="P15" s="166">
        <f t="shared" si="3"/>
        <v>45</v>
      </c>
      <c r="Q15" s="213">
        <f t="shared" si="4"/>
        <v>0.9375</v>
      </c>
      <c r="R15" s="173">
        <v>5</v>
      </c>
      <c r="S15" s="173">
        <v>5</v>
      </c>
      <c r="T15" s="217" t="s">
        <v>59</v>
      </c>
      <c r="U15" s="215" t="str">
        <f t="shared" si="5"/>
        <v>Reading At Grade Level</v>
      </c>
      <c r="V15" s="218"/>
      <c r="Y15" s="219">
        <f t="shared" si="6"/>
        <v>0.83333333333333337</v>
      </c>
    </row>
    <row r="16" spans="1:26">
      <c r="A16" s="165">
        <v>6</v>
      </c>
      <c r="B16" s="166">
        <f>IF('G2 MT Reading Scoresheet'!B16&lt;&gt;"",'G2 MT Reading Scoresheet'!B16,"")</f>
        <v>117443230007</v>
      </c>
      <c r="C16" s="167" t="str">
        <f>IF('G2 MT Reading Scoresheet'!C16&lt;&gt;"",'G2 MT Reading Scoresheet'!C16,"")</f>
        <v>ANTONIO, JELAISA JEAN P.</v>
      </c>
      <c r="D16" s="168" t="str">
        <f>IF('G2 MT Reading Scoresheet'!D16&lt;&gt;"",'G2 MT Reading Scoresheet'!D16,"")</f>
        <v>Female</v>
      </c>
      <c r="E16" s="169">
        <f>IF('G2 MT Reading Scoresheet'!E16&lt;&gt;"",'G2 MT Reading Scoresheet'!E16,"")</f>
        <v>46084</v>
      </c>
      <c r="F16" s="170">
        <v>2</v>
      </c>
      <c r="G16" s="171">
        <v>2</v>
      </c>
      <c r="H16" s="174">
        <v>8</v>
      </c>
      <c r="I16" s="193">
        <f t="shared" si="0"/>
        <v>4</v>
      </c>
      <c r="J16" s="194" t="str">
        <f t="shared" si="1"/>
        <v>Full Refresher</v>
      </c>
      <c r="K16" s="195"/>
      <c r="L16" s="196"/>
      <c r="M16" s="166" t="str">
        <f t="shared" si="2"/>
        <v/>
      </c>
      <c r="N16" s="174"/>
      <c r="O16" s="174"/>
      <c r="P16" s="166" t="str">
        <f t="shared" si="3"/>
        <v/>
      </c>
      <c r="Q16" s="213" t="str">
        <f t="shared" si="4"/>
        <v/>
      </c>
      <c r="R16" s="174"/>
      <c r="S16" s="174"/>
      <c r="T16" s="214"/>
      <c r="U16" s="215" t="str">
        <f t="shared" si="5"/>
        <v>Low Emerging Reader</v>
      </c>
      <c r="V16" s="216"/>
      <c r="Y16" s="219">
        <f t="shared" si="6"/>
        <v>0</v>
      </c>
    </row>
    <row r="17" spans="1:25">
      <c r="A17" s="57">
        <v>7</v>
      </c>
      <c r="B17" s="166">
        <f>IF('G2 MT Reading Scoresheet'!B17&lt;&gt;"",'G2 MT Reading Scoresheet'!B17,"")</f>
        <v>117443230008</v>
      </c>
      <c r="C17" s="167" t="str">
        <f>IF('G2 MT Reading Scoresheet'!C17&lt;&gt;"",'G2 MT Reading Scoresheet'!C17,"")</f>
        <v>CUSTODIO, MARICAR C.</v>
      </c>
      <c r="D17" s="168" t="str">
        <f>IF('G2 MT Reading Scoresheet'!D17&lt;&gt;"",'G2 MT Reading Scoresheet'!D17,"")</f>
        <v>Female</v>
      </c>
      <c r="E17" s="169">
        <f>IF('G2 MT Reading Scoresheet'!E17&lt;&gt;"",'G2 MT Reading Scoresheet'!E17,"")</f>
        <v>46085</v>
      </c>
      <c r="F17" s="172">
        <v>10</v>
      </c>
      <c r="G17" s="164"/>
      <c r="H17" s="173">
        <v>10</v>
      </c>
      <c r="I17" s="193">
        <f t="shared" si="0"/>
        <v>30</v>
      </c>
      <c r="J17" s="194" t="str">
        <f t="shared" si="1"/>
        <v>Grade Ready</v>
      </c>
      <c r="K17" s="197">
        <v>1</v>
      </c>
      <c r="L17" s="198">
        <v>3</v>
      </c>
      <c r="M17" s="166">
        <f t="shared" si="2"/>
        <v>93</v>
      </c>
      <c r="N17" s="173">
        <v>2</v>
      </c>
      <c r="O17" s="173">
        <v>0</v>
      </c>
      <c r="P17" s="166">
        <f t="shared" si="3"/>
        <v>46.5</v>
      </c>
      <c r="Q17" s="213">
        <f t="shared" si="4"/>
        <v>0.96875</v>
      </c>
      <c r="R17" s="173">
        <v>4</v>
      </c>
      <c r="S17" s="173">
        <v>5</v>
      </c>
      <c r="T17" s="217" t="s">
        <v>59</v>
      </c>
      <c r="U17" s="215" t="str">
        <f t="shared" si="5"/>
        <v>Transitioning Reader</v>
      </c>
      <c r="V17" s="218"/>
      <c r="Y17" s="219">
        <f t="shared" si="6"/>
        <v>0.66666666666666663</v>
      </c>
    </row>
    <row r="18" spans="1:25">
      <c r="A18" s="165">
        <v>8</v>
      </c>
      <c r="B18" s="166">
        <f>IF('G2 MT Reading Scoresheet'!B18&lt;&gt;"",'G2 MT Reading Scoresheet'!B18,"")</f>
        <v>117443230009</v>
      </c>
      <c r="C18" s="167" t="str">
        <f>IF('G2 MT Reading Scoresheet'!C18&lt;&gt;"",'G2 MT Reading Scoresheet'!C18,"")</f>
        <v>DUMAICOS, NOVELYN F.</v>
      </c>
      <c r="D18" s="168" t="str">
        <f>IF('G2 MT Reading Scoresheet'!D18&lt;&gt;"",'G2 MT Reading Scoresheet'!D18,"")</f>
        <v>Female</v>
      </c>
      <c r="E18" s="169">
        <f>IF('G2 MT Reading Scoresheet'!E18&lt;&gt;"",'G2 MT Reading Scoresheet'!E18,"")</f>
        <v>46085</v>
      </c>
      <c r="F18" s="170">
        <v>9</v>
      </c>
      <c r="G18" s="171"/>
      <c r="H18" s="174">
        <v>8</v>
      </c>
      <c r="I18" s="193">
        <f t="shared" si="0"/>
        <v>27</v>
      </c>
      <c r="J18" s="194" t="str">
        <f t="shared" si="1"/>
        <v>Grade Ready</v>
      </c>
      <c r="K18" s="195">
        <v>2</v>
      </c>
      <c r="L18" s="196">
        <v>34</v>
      </c>
      <c r="M18" s="166">
        <f t="shared" si="2"/>
        <v>61</v>
      </c>
      <c r="N18" s="174">
        <v>2</v>
      </c>
      <c r="O18" s="174">
        <v>0</v>
      </c>
      <c r="P18" s="166">
        <f t="shared" si="3"/>
        <v>30.5</v>
      </c>
      <c r="Q18" s="213">
        <f t="shared" si="4"/>
        <v>0.64210526315789473</v>
      </c>
      <c r="R18" s="174">
        <v>2</v>
      </c>
      <c r="S18" s="174">
        <v>5</v>
      </c>
      <c r="T18" s="214" t="s">
        <v>64</v>
      </c>
      <c r="U18" s="215" t="str">
        <f t="shared" si="5"/>
        <v>Developing Reader</v>
      </c>
      <c r="V18" s="216"/>
      <c r="Y18" s="219">
        <f t="shared" si="6"/>
        <v>0.33333333333333331</v>
      </c>
    </row>
    <row r="19" spans="1:25">
      <c r="A19" s="57">
        <v>9</v>
      </c>
      <c r="B19" s="166">
        <f>IF('G2 MT Reading Scoresheet'!B19&lt;&gt;"",'G2 MT Reading Scoresheet'!B19,"")</f>
        <v>117443230010</v>
      </c>
      <c r="C19" s="167" t="str">
        <f>IF('G2 MT Reading Scoresheet'!C19&lt;&gt;"",'G2 MT Reading Scoresheet'!C19,"")</f>
        <v>DUMANIEL, SHANAYA A.</v>
      </c>
      <c r="D19" s="168" t="str">
        <f>IF('G2 MT Reading Scoresheet'!D19&lt;&gt;"",'G2 MT Reading Scoresheet'!D19,"")</f>
        <v>Female</v>
      </c>
      <c r="E19" s="169">
        <f>IF('G2 MT Reading Scoresheet'!E19&lt;&gt;"",'G2 MT Reading Scoresheet'!E19,"")</f>
        <v>46085</v>
      </c>
      <c r="F19" s="172">
        <v>10</v>
      </c>
      <c r="G19" s="164"/>
      <c r="H19" s="173">
        <v>10</v>
      </c>
      <c r="I19" s="193">
        <f t="shared" si="0"/>
        <v>30</v>
      </c>
      <c r="J19" s="194" t="str">
        <f t="shared" si="1"/>
        <v>Grade Ready</v>
      </c>
      <c r="K19" s="197">
        <v>2</v>
      </c>
      <c r="L19" s="198">
        <v>2</v>
      </c>
      <c r="M19" s="166">
        <f t="shared" si="2"/>
        <v>93</v>
      </c>
      <c r="N19" s="173">
        <v>2</v>
      </c>
      <c r="O19" s="173">
        <v>0</v>
      </c>
      <c r="P19" s="166">
        <f t="shared" si="3"/>
        <v>46.5</v>
      </c>
      <c r="Q19" s="213">
        <f t="shared" si="4"/>
        <v>0.97894736842105268</v>
      </c>
      <c r="R19" s="173">
        <v>5</v>
      </c>
      <c r="S19" s="173">
        <v>5</v>
      </c>
      <c r="T19" s="217" t="s">
        <v>59</v>
      </c>
      <c r="U19" s="215" t="str">
        <f t="shared" si="5"/>
        <v>Reading At Grade Level</v>
      </c>
      <c r="V19" s="218"/>
      <c r="Y19" s="219">
        <f t="shared" si="6"/>
        <v>0.83333333333333337</v>
      </c>
    </row>
    <row r="20" spans="1:25">
      <c r="A20" s="165">
        <v>10</v>
      </c>
      <c r="B20" s="166">
        <f>IF('G2 MT Reading Scoresheet'!B20&lt;&gt;"",'G2 MT Reading Scoresheet'!B20,"")</f>
        <v>117443230013</v>
      </c>
      <c r="C20" s="167" t="str">
        <f>IF('G2 MT Reading Scoresheet'!C20&lt;&gt;"",'G2 MT Reading Scoresheet'!C20,"")</f>
        <v>ESTOCADA, JULIANA Q.</v>
      </c>
      <c r="D20" s="168" t="str">
        <f>IF('G2 MT Reading Scoresheet'!D20&lt;&gt;"",'G2 MT Reading Scoresheet'!D20,"")</f>
        <v>Female</v>
      </c>
      <c r="E20" s="169">
        <f>IF('G2 MT Reading Scoresheet'!E20&lt;&gt;"",'G2 MT Reading Scoresheet'!E20,"")</f>
        <v>46085</v>
      </c>
      <c r="F20" s="170">
        <v>10</v>
      </c>
      <c r="G20" s="171"/>
      <c r="H20" s="174">
        <v>10</v>
      </c>
      <c r="I20" s="193">
        <f t="shared" si="0"/>
        <v>30</v>
      </c>
      <c r="J20" s="194" t="str">
        <f t="shared" si="1"/>
        <v>Grade Ready</v>
      </c>
      <c r="K20" s="195">
        <v>1</v>
      </c>
      <c r="L20" s="196">
        <v>11</v>
      </c>
      <c r="M20" s="166">
        <f t="shared" si="2"/>
        <v>85</v>
      </c>
      <c r="N20" s="174">
        <v>2</v>
      </c>
      <c r="O20" s="174">
        <v>0</v>
      </c>
      <c r="P20" s="166">
        <f t="shared" si="3"/>
        <v>42.5</v>
      </c>
      <c r="Q20" s="213">
        <f t="shared" si="4"/>
        <v>0.88541666666666663</v>
      </c>
      <c r="R20" s="174">
        <v>4</v>
      </c>
      <c r="S20" s="174">
        <v>5</v>
      </c>
      <c r="T20" s="214" t="s">
        <v>59</v>
      </c>
      <c r="U20" s="215" t="str">
        <f t="shared" si="5"/>
        <v>Transitioning Reader</v>
      </c>
      <c r="V20" s="216"/>
      <c r="Y20" s="219">
        <f t="shared" si="6"/>
        <v>0.66666666666666663</v>
      </c>
    </row>
    <row r="21" spans="1:25">
      <c r="A21" s="57">
        <v>11</v>
      </c>
      <c r="B21" s="175">
        <f>IF('G2 MT Reading Scoresheet'!B21&lt;&gt;"",'G2 MT Reading Scoresheet'!B21,"")</f>
        <v>117443230011</v>
      </c>
      <c r="C21" s="167" t="str">
        <f>IF('G2 MT Reading Scoresheet'!C21&lt;&gt;"",'G2 MT Reading Scoresheet'!C21,"")</f>
        <v>GANCIA, CRISSUN V.</v>
      </c>
      <c r="D21" s="168" t="str">
        <f>IF('G2 MT Reading Scoresheet'!D21&lt;&gt;"",'G2 MT Reading Scoresheet'!D21,"")</f>
        <v>Female</v>
      </c>
      <c r="E21" s="169">
        <f>IF('G2 MT Reading Scoresheet'!E21&lt;&gt;"",'G2 MT Reading Scoresheet'!E21,"")</f>
        <v>46079</v>
      </c>
      <c r="F21" s="172">
        <v>10</v>
      </c>
      <c r="G21" s="164"/>
      <c r="H21" s="173">
        <v>10</v>
      </c>
      <c r="I21" s="193">
        <f t="shared" si="0"/>
        <v>30</v>
      </c>
      <c r="J21" s="194" t="str">
        <f t="shared" si="1"/>
        <v>Grade Ready</v>
      </c>
      <c r="K21" s="197">
        <v>2</v>
      </c>
      <c r="L21" s="198">
        <v>5</v>
      </c>
      <c r="M21" s="166">
        <f t="shared" si="2"/>
        <v>90</v>
      </c>
      <c r="N21" s="173">
        <v>2</v>
      </c>
      <c r="O21" s="173">
        <v>0</v>
      </c>
      <c r="P21" s="166">
        <f t="shared" si="3"/>
        <v>45</v>
      </c>
      <c r="Q21" s="213">
        <f t="shared" si="4"/>
        <v>0.94736842105263153</v>
      </c>
      <c r="R21" s="173">
        <v>3</v>
      </c>
      <c r="S21" s="173">
        <v>5</v>
      </c>
      <c r="T21" s="217" t="s">
        <v>59</v>
      </c>
      <c r="U21" s="215" t="str">
        <f t="shared" si="5"/>
        <v>Transitioning Reader</v>
      </c>
      <c r="V21" s="218"/>
      <c r="Y21" s="219">
        <f t="shared" si="6"/>
        <v>0.5</v>
      </c>
    </row>
    <row r="22" spans="1:25">
      <c r="A22" s="165">
        <v>12</v>
      </c>
      <c r="B22" s="175">
        <f>IF('G2 MT Reading Scoresheet'!B22&lt;&gt;"",'G2 MT Reading Scoresheet'!B22,"")</f>
        <v>117443230012</v>
      </c>
      <c r="C22" s="167" t="str">
        <f>IF('G2 MT Reading Scoresheet'!C22&lt;&gt;"",'G2 MT Reading Scoresheet'!C22,"")</f>
        <v>JUMBAS, JHAZMAINE KHATE A.</v>
      </c>
      <c r="D22" s="168" t="str">
        <f>IF('G2 MT Reading Scoresheet'!D22&lt;&gt;"",'G2 MT Reading Scoresheet'!D22,"")</f>
        <v>Female</v>
      </c>
      <c r="E22" s="169">
        <f>IF('G2 MT Reading Scoresheet'!E22&lt;&gt;"",'G2 MT Reading Scoresheet'!E22,"")</f>
        <v>46079</v>
      </c>
      <c r="F22" s="170">
        <v>10</v>
      </c>
      <c r="G22" s="171"/>
      <c r="H22" s="174">
        <v>10</v>
      </c>
      <c r="I22" s="193">
        <f t="shared" si="0"/>
        <v>30</v>
      </c>
      <c r="J22" s="194" t="str">
        <f t="shared" si="1"/>
        <v>Grade Ready</v>
      </c>
      <c r="K22" s="195">
        <v>2</v>
      </c>
      <c r="L22" s="196">
        <v>1</v>
      </c>
      <c r="M22" s="166">
        <f t="shared" si="2"/>
        <v>94</v>
      </c>
      <c r="N22" s="174">
        <v>2</v>
      </c>
      <c r="O22" s="174">
        <v>0</v>
      </c>
      <c r="P22" s="166">
        <f t="shared" si="3"/>
        <v>47</v>
      </c>
      <c r="Q22" s="213">
        <f t="shared" si="4"/>
        <v>0.98947368421052628</v>
      </c>
      <c r="R22" s="174">
        <v>5</v>
      </c>
      <c r="S22" s="174">
        <v>5</v>
      </c>
      <c r="T22" s="214" t="s">
        <v>69</v>
      </c>
      <c r="U22" s="215" t="str">
        <f t="shared" si="5"/>
        <v>Reading At Grade Level</v>
      </c>
      <c r="V22" s="216"/>
      <c r="Y22" s="219">
        <f t="shared" si="6"/>
        <v>0.83333333333333337</v>
      </c>
    </row>
    <row r="23" spans="1:25">
      <c r="A23" s="57">
        <v>13</v>
      </c>
      <c r="B23" s="175">
        <f>IF('G2 MT Reading Scoresheet'!B23&lt;&gt;"",'G2 MT Reading Scoresheet'!B23,"")</f>
        <v>117441230029</v>
      </c>
      <c r="C23" s="167" t="str">
        <f>IF('G2 MT Reading Scoresheet'!C23&lt;&gt;"",'G2 MT Reading Scoresheet'!C23,"")</f>
        <v>LABANZA, ALEJANDRINE AMIAH G.</v>
      </c>
      <c r="D23" s="168" t="str">
        <f>IF('G2 MT Reading Scoresheet'!D23&lt;&gt;"",'G2 MT Reading Scoresheet'!D23,"")</f>
        <v>Female</v>
      </c>
      <c r="E23" s="169">
        <f>IF('G2 MT Reading Scoresheet'!E23&lt;&gt;"",'G2 MT Reading Scoresheet'!E23,"")</f>
        <v>46082</v>
      </c>
      <c r="F23" s="172">
        <v>10</v>
      </c>
      <c r="G23" s="164"/>
      <c r="H23" s="173">
        <v>9</v>
      </c>
      <c r="I23" s="193">
        <f t="shared" si="0"/>
        <v>29</v>
      </c>
      <c r="J23" s="194" t="str">
        <f t="shared" si="1"/>
        <v>Grade Ready</v>
      </c>
      <c r="K23" s="197">
        <v>1</v>
      </c>
      <c r="L23" s="198">
        <v>34</v>
      </c>
      <c r="M23" s="166">
        <f t="shared" si="2"/>
        <v>62</v>
      </c>
      <c r="N23" s="173">
        <v>2</v>
      </c>
      <c r="O23" s="173">
        <v>0</v>
      </c>
      <c r="P23" s="166">
        <f t="shared" si="3"/>
        <v>31.000000000000004</v>
      </c>
      <c r="Q23" s="213">
        <f t="shared" si="4"/>
        <v>0.64583333333333337</v>
      </c>
      <c r="R23" s="173">
        <v>2</v>
      </c>
      <c r="S23" s="173">
        <v>5</v>
      </c>
      <c r="T23" s="217" t="s">
        <v>55</v>
      </c>
      <c r="U23" s="215" t="str">
        <f t="shared" si="5"/>
        <v>Developing Reader</v>
      </c>
      <c r="V23" s="218"/>
      <c r="Y23" s="219">
        <f t="shared" si="6"/>
        <v>0.33333333333333331</v>
      </c>
    </row>
    <row r="24" spans="1:25">
      <c r="A24" s="165">
        <v>14</v>
      </c>
      <c r="B24" s="175" t="str">
        <f>IF('G2 MT Reading Scoresheet'!B24&lt;&gt;"",'G2 MT Reading Scoresheet'!B24,"")</f>
        <v/>
      </c>
      <c r="C24" s="167" t="str">
        <f>IF('G2 MT Reading Scoresheet'!C24&lt;&gt;"",'G2 MT Reading Scoresheet'!C24,"")</f>
        <v/>
      </c>
      <c r="D24" s="168" t="str">
        <f>IF('G2 MT Reading Scoresheet'!D24&lt;&gt;"",'G2 MT Reading Scoresheet'!D24,"")</f>
        <v/>
      </c>
      <c r="E24" s="169" t="str">
        <f>IF('G2 MT Reading Scoresheet'!E24&lt;&gt;"",'G2 MT Reading Scoresheet'!E24,"")</f>
        <v/>
      </c>
      <c r="F24" s="170"/>
      <c r="G24" s="171"/>
      <c r="H24" s="174">
        <v>9</v>
      </c>
      <c r="I24" s="193" t="str">
        <f t="shared" si="0"/>
        <v/>
      </c>
      <c r="J24" s="194" t="str">
        <f t="shared" si="1"/>
        <v/>
      </c>
      <c r="K24" s="195"/>
      <c r="L24" s="196"/>
      <c r="M24" s="166" t="str">
        <f t="shared" si="2"/>
        <v/>
      </c>
      <c r="N24" s="174"/>
      <c r="O24" s="174"/>
      <c r="P24" s="166" t="str">
        <f t="shared" si="3"/>
        <v/>
      </c>
      <c r="Q24" s="213" t="str">
        <f t="shared" si="4"/>
        <v/>
      </c>
      <c r="R24" s="174"/>
      <c r="S24" s="174"/>
      <c r="T24" s="214"/>
      <c r="U24" s="215" t="str">
        <f t="shared" si="5"/>
        <v/>
      </c>
      <c r="V24" s="216"/>
      <c r="Y24" s="219" t="str">
        <f t="shared" si="6"/>
        <v/>
      </c>
    </row>
    <row r="25" spans="1:25">
      <c r="A25" s="57">
        <v>15</v>
      </c>
      <c r="B25" s="175" t="str">
        <f>IF('G2 MT Reading Scoresheet'!B25&lt;&gt;"",'G2 MT Reading Scoresheet'!B25,"")</f>
        <v/>
      </c>
      <c r="C25" s="167" t="str">
        <f>IF('G2 MT Reading Scoresheet'!C25&lt;&gt;"",'G2 MT Reading Scoresheet'!C25,"")</f>
        <v/>
      </c>
      <c r="D25" s="168" t="str">
        <f>IF('G2 MT Reading Scoresheet'!D25&lt;&gt;"",'G2 MT Reading Scoresheet'!D25,"")</f>
        <v/>
      </c>
      <c r="E25" s="169" t="str">
        <f>IF('G2 MT Reading Scoresheet'!E25&lt;&gt;"",'G2 MT Reading Scoresheet'!E25,"")</f>
        <v/>
      </c>
      <c r="F25" s="172"/>
      <c r="G25" s="164"/>
      <c r="H25" s="173">
        <v>6</v>
      </c>
      <c r="I25" s="193" t="str">
        <f t="shared" si="0"/>
        <v/>
      </c>
      <c r="J25" s="194" t="str">
        <f t="shared" si="1"/>
        <v/>
      </c>
      <c r="K25" s="197"/>
      <c r="L25" s="198"/>
      <c r="M25" s="166" t="str">
        <f t="shared" si="2"/>
        <v/>
      </c>
      <c r="N25" s="173"/>
      <c r="O25" s="173"/>
      <c r="P25" s="166" t="str">
        <f t="shared" si="3"/>
        <v/>
      </c>
      <c r="Q25" s="213" t="str">
        <f t="shared" si="4"/>
        <v/>
      </c>
      <c r="R25" s="173"/>
      <c r="S25" s="173"/>
      <c r="T25" s="217"/>
      <c r="U25" s="215" t="str">
        <f t="shared" si="5"/>
        <v/>
      </c>
      <c r="V25" s="218"/>
      <c r="Y25" s="219" t="str">
        <f t="shared" si="6"/>
        <v/>
      </c>
    </row>
    <row r="26" spans="1:25">
      <c r="A26" s="165">
        <v>16</v>
      </c>
      <c r="B26" s="175" t="str">
        <f>IF('G2 MT Reading Scoresheet'!B26&lt;&gt;"",'G2 MT Reading Scoresheet'!B26,"")</f>
        <v/>
      </c>
      <c r="C26" s="167" t="str">
        <f>IF('G2 MT Reading Scoresheet'!C26&lt;&gt;"",'G2 MT Reading Scoresheet'!C26,"")</f>
        <v/>
      </c>
      <c r="D26" s="168" t="str">
        <f>IF('G2 MT Reading Scoresheet'!D26&lt;&gt;"",'G2 MT Reading Scoresheet'!D26,"")</f>
        <v/>
      </c>
      <c r="E26" s="169" t="str">
        <f>IF('G2 MT Reading Scoresheet'!E26&lt;&gt;"",'G2 MT Reading Scoresheet'!E26,"")</f>
        <v/>
      </c>
      <c r="F26" s="170"/>
      <c r="G26" s="171"/>
      <c r="H26" s="174">
        <v>10</v>
      </c>
      <c r="I26" s="193" t="str">
        <f t="shared" si="0"/>
        <v/>
      </c>
      <c r="J26" s="194" t="str">
        <f t="shared" si="1"/>
        <v/>
      </c>
      <c r="K26" s="195"/>
      <c r="L26" s="196"/>
      <c r="M26" s="166" t="str">
        <f t="shared" si="2"/>
        <v/>
      </c>
      <c r="N26" s="174"/>
      <c r="O26" s="174"/>
      <c r="P26" s="166" t="str">
        <f t="shared" si="3"/>
        <v/>
      </c>
      <c r="Q26" s="213" t="str">
        <f t="shared" si="4"/>
        <v/>
      </c>
      <c r="R26" s="174"/>
      <c r="S26" s="174"/>
      <c r="T26" s="214"/>
      <c r="U26" s="215" t="str">
        <f t="shared" si="5"/>
        <v/>
      </c>
      <c r="V26" s="216"/>
      <c r="Y26" s="219" t="str">
        <f t="shared" si="6"/>
        <v/>
      </c>
    </row>
    <row r="27" spans="1:25">
      <c r="A27" s="57">
        <v>17</v>
      </c>
      <c r="B27" s="175" t="str">
        <f>IF('G2 MT Reading Scoresheet'!B27&lt;&gt;"",'G2 MT Reading Scoresheet'!B27,"")</f>
        <v/>
      </c>
      <c r="C27" s="167" t="str">
        <f>IF('G2 MT Reading Scoresheet'!C27&lt;&gt;"",'G2 MT Reading Scoresheet'!C27,"")</f>
        <v/>
      </c>
      <c r="D27" s="168" t="str">
        <f>IF('G2 MT Reading Scoresheet'!D27&lt;&gt;"",'G2 MT Reading Scoresheet'!D27,"")</f>
        <v/>
      </c>
      <c r="E27" s="169" t="str">
        <f>IF('G2 MT Reading Scoresheet'!E27&lt;&gt;"",'G2 MT Reading Scoresheet'!E27,"")</f>
        <v/>
      </c>
      <c r="F27" s="172"/>
      <c r="G27" s="164"/>
      <c r="H27" s="173">
        <v>10</v>
      </c>
      <c r="I27" s="193" t="str">
        <f t="shared" si="0"/>
        <v/>
      </c>
      <c r="J27" s="194" t="str">
        <f t="shared" si="1"/>
        <v/>
      </c>
      <c r="K27" s="197"/>
      <c r="L27" s="198"/>
      <c r="M27" s="166" t="str">
        <f t="shared" si="2"/>
        <v/>
      </c>
      <c r="N27" s="173"/>
      <c r="O27" s="173"/>
      <c r="P27" s="166" t="str">
        <f t="shared" si="3"/>
        <v/>
      </c>
      <c r="Q27" s="213" t="str">
        <f t="shared" si="4"/>
        <v/>
      </c>
      <c r="R27" s="173"/>
      <c r="S27" s="173"/>
      <c r="T27" s="217"/>
      <c r="U27" s="215" t="str">
        <f t="shared" si="5"/>
        <v/>
      </c>
      <c r="V27" s="218"/>
      <c r="Y27" s="219" t="str">
        <f t="shared" si="6"/>
        <v/>
      </c>
    </row>
    <row r="28" spans="1:25">
      <c r="A28" s="165">
        <v>18</v>
      </c>
      <c r="B28" s="175" t="str">
        <f>IF('G2 MT Reading Scoresheet'!B28&lt;&gt;"",'G2 MT Reading Scoresheet'!B28,"")</f>
        <v/>
      </c>
      <c r="C28" s="167" t="str">
        <f>IF('G2 MT Reading Scoresheet'!C28&lt;&gt;"",'G2 MT Reading Scoresheet'!C28,"")</f>
        <v/>
      </c>
      <c r="D28" s="168" t="str">
        <f>IF('G2 MT Reading Scoresheet'!D28&lt;&gt;"",'G2 MT Reading Scoresheet'!D28,"")</f>
        <v/>
      </c>
      <c r="E28" s="169" t="str">
        <f>IF('G2 MT Reading Scoresheet'!E28&lt;&gt;"",'G2 MT Reading Scoresheet'!E28,"")</f>
        <v/>
      </c>
      <c r="F28" s="170"/>
      <c r="G28" s="171"/>
      <c r="H28" s="174">
        <v>10</v>
      </c>
      <c r="I28" s="193" t="str">
        <f t="shared" si="0"/>
        <v/>
      </c>
      <c r="J28" s="194" t="str">
        <f t="shared" si="1"/>
        <v/>
      </c>
      <c r="K28" s="195"/>
      <c r="L28" s="196"/>
      <c r="M28" s="166" t="str">
        <f t="shared" si="2"/>
        <v/>
      </c>
      <c r="N28" s="174"/>
      <c r="O28" s="174"/>
      <c r="P28" s="166" t="str">
        <f t="shared" si="3"/>
        <v/>
      </c>
      <c r="Q28" s="213" t="str">
        <f t="shared" si="4"/>
        <v/>
      </c>
      <c r="R28" s="174"/>
      <c r="S28" s="174"/>
      <c r="T28" s="214"/>
      <c r="U28" s="215" t="str">
        <f t="shared" si="5"/>
        <v/>
      </c>
      <c r="V28" s="216"/>
      <c r="Y28" s="219" t="str">
        <f t="shared" si="6"/>
        <v/>
      </c>
    </row>
    <row r="29" spans="1:25">
      <c r="A29" s="57">
        <v>19</v>
      </c>
      <c r="B29" s="175" t="str">
        <f>IF('G2 MT Reading Scoresheet'!B29&lt;&gt;"",'G2 MT Reading Scoresheet'!B29,"")</f>
        <v/>
      </c>
      <c r="C29" s="167" t="str">
        <f>IF('G2 MT Reading Scoresheet'!C29&lt;&gt;"",'G2 MT Reading Scoresheet'!C29,"")</f>
        <v/>
      </c>
      <c r="D29" s="168" t="str">
        <f>IF('G2 MT Reading Scoresheet'!D29&lt;&gt;"",'G2 MT Reading Scoresheet'!D29,"")</f>
        <v/>
      </c>
      <c r="E29" s="169" t="str">
        <f>IF('G2 MT Reading Scoresheet'!E29&lt;&gt;"",'G2 MT Reading Scoresheet'!E29,"")</f>
        <v/>
      </c>
      <c r="F29" s="176"/>
      <c r="G29" s="164"/>
      <c r="H29" s="173">
        <v>10</v>
      </c>
      <c r="I29" s="193" t="str">
        <f t="shared" si="0"/>
        <v/>
      </c>
      <c r="J29" s="194" t="str">
        <f t="shared" si="1"/>
        <v/>
      </c>
      <c r="K29" s="197"/>
      <c r="L29" s="198"/>
      <c r="M29" s="166" t="str">
        <f t="shared" si="2"/>
        <v/>
      </c>
      <c r="N29" s="173"/>
      <c r="O29" s="173"/>
      <c r="P29" s="166" t="str">
        <f t="shared" si="3"/>
        <v/>
      </c>
      <c r="Q29" s="213" t="str">
        <f t="shared" si="4"/>
        <v/>
      </c>
      <c r="R29" s="173"/>
      <c r="S29" s="173"/>
      <c r="T29" s="217"/>
      <c r="U29" s="215" t="str">
        <f t="shared" si="5"/>
        <v/>
      </c>
      <c r="V29" s="218"/>
      <c r="Y29" s="219" t="str">
        <f t="shared" si="6"/>
        <v/>
      </c>
    </row>
    <row r="30" spans="1:25">
      <c r="A30" s="165">
        <v>20</v>
      </c>
      <c r="B30" s="175" t="str">
        <f>IF('G2 MT Reading Scoresheet'!B30&lt;&gt;"",'G2 MT Reading Scoresheet'!B30,"")</f>
        <v/>
      </c>
      <c r="C30" s="167" t="str">
        <f>IF('G2 MT Reading Scoresheet'!C30&lt;&gt;"",'G2 MT Reading Scoresheet'!C30,"")</f>
        <v/>
      </c>
      <c r="D30" s="168" t="str">
        <f>IF('G2 MT Reading Scoresheet'!D30&lt;&gt;"",'G2 MT Reading Scoresheet'!D30,"")</f>
        <v/>
      </c>
      <c r="E30" s="169" t="str">
        <f>IF('G2 MT Reading Scoresheet'!E30&lt;&gt;"",'G2 MT Reading Scoresheet'!E30,"")</f>
        <v/>
      </c>
      <c r="F30" s="177"/>
      <c r="G30" s="171"/>
      <c r="H30" s="174">
        <v>10</v>
      </c>
      <c r="I30" s="193" t="str">
        <f t="shared" si="0"/>
        <v/>
      </c>
      <c r="J30" s="194" t="str">
        <f t="shared" si="1"/>
        <v/>
      </c>
      <c r="K30" s="195"/>
      <c r="L30" s="196"/>
      <c r="M30" s="166" t="str">
        <f t="shared" si="2"/>
        <v/>
      </c>
      <c r="N30" s="174"/>
      <c r="O30" s="174"/>
      <c r="P30" s="166" t="str">
        <f t="shared" si="3"/>
        <v/>
      </c>
      <c r="Q30" s="213" t="str">
        <f t="shared" si="4"/>
        <v/>
      </c>
      <c r="R30" s="174"/>
      <c r="S30" s="174"/>
      <c r="T30" s="214"/>
      <c r="U30" s="215" t="str">
        <f t="shared" si="5"/>
        <v/>
      </c>
      <c r="V30" s="216"/>
      <c r="Y30" s="219" t="str">
        <f t="shared" si="6"/>
        <v/>
      </c>
    </row>
    <row r="31" spans="1:25">
      <c r="A31" s="57">
        <v>21</v>
      </c>
      <c r="B31" s="175" t="str">
        <f>IF('G2 MT Reading Scoresheet'!B31&lt;&gt;"",'G2 MT Reading Scoresheet'!B31,"")</f>
        <v/>
      </c>
      <c r="C31" s="167" t="str">
        <f>IF('G2 MT Reading Scoresheet'!C31&lt;&gt;"",'G2 MT Reading Scoresheet'!C31,"")</f>
        <v/>
      </c>
      <c r="D31" s="168" t="str">
        <f>IF('G2 MT Reading Scoresheet'!D31&lt;&gt;"",'G2 MT Reading Scoresheet'!D31,"")</f>
        <v/>
      </c>
      <c r="E31" s="169" t="str">
        <f>IF('G2 MT Reading Scoresheet'!E31&lt;&gt;"",'G2 MT Reading Scoresheet'!E31,"")</f>
        <v/>
      </c>
      <c r="F31" s="176"/>
      <c r="G31" s="164"/>
      <c r="H31" s="173">
        <v>10</v>
      </c>
      <c r="I31" s="193" t="str">
        <f t="shared" si="0"/>
        <v/>
      </c>
      <c r="J31" s="194" t="str">
        <f t="shared" si="1"/>
        <v/>
      </c>
      <c r="K31" s="197"/>
      <c r="L31" s="199"/>
      <c r="M31" s="166" t="str">
        <f t="shared" si="2"/>
        <v/>
      </c>
      <c r="N31" s="174"/>
      <c r="O31" s="173"/>
      <c r="P31" s="166" t="str">
        <f t="shared" si="3"/>
        <v/>
      </c>
      <c r="Q31" s="213" t="str">
        <f t="shared" si="4"/>
        <v/>
      </c>
      <c r="R31" s="173"/>
      <c r="S31" s="173"/>
      <c r="T31" s="217"/>
      <c r="U31" s="215" t="str">
        <f t="shared" si="5"/>
        <v/>
      </c>
      <c r="V31" s="218"/>
      <c r="Y31" s="219" t="str">
        <f t="shared" si="6"/>
        <v/>
      </c>
    </row>
    <row r="32" spans="1:25">
      <c r="A32" s="165">
        <v>22</v>
      </c>
      <c r="B32" s="175" t="str">
        <f>IF('G2 MT Reading Scoresheet'!B32&lt;&gt;"",'G2 MT Reading Scoresheet'!B32,"")</f>
        <v/>
      </c>
      <c r="C32" s="167" t="str">
        <f>IF('G2 MT Reading Scoresheet'!C32&lt;&gt;"",'G2 MT Reading Scoresheet'!C32,"")</f>
        <v/>
      </c>
      <c r="D32" s="168" t="str">
        <f>IF('G2 MT Reading Scoresheet'!D32&lt;&gt;"",'G2 MT Reading Scoresheet'!D32,"")</f>
        <v/>
      </c>
      <c r="E32" s="169" t="str">
        <f>IF('G2 MT Reading Scoresheet'!E32&lt;&gt;"",'G2 MT Reading Scoresheet'!E32,"")</f>
        <v/>
      </c>
      <c r="F32" s="177"/>
      <c r="G32" s="171"/>
      <c r="H32" s="174">
        <v>10</v>
      </c>
      <c r="I32" s="193" t="str">
        <f t="shared" si="0"/>
        <v/>
      </c>
      <c r="J32" s="194" t="str">
        <f t="shared" si="1"/>
        <v/>
      </c>
      <c r="K32" s="195"/>
      <c r="L32" s="200"/>
      <c r="M32" s="166" t="str">
        <f t="shared" si="2"/>
        <v/>
      </c>
      <c r="N32" s="174"/>
      <c r="O32" s="174"/>
      <c r="P32" s="166" t="str">
        <f t="shared" si="3"/>
        <v/>
      </c>
      <c r="Q32" s="213" t="str">
        <f t="shared" si="4"/>
        <v/>
      </c>
      <c r="R32" s="174"/>
      <c r="S32" s="174"/>
      <c r="T32" s="214"/>
      <c r="U32" s="215" t="str">
        <f t="shared" si="5"/>
        <v/>
      </c>
      <c r="V32" s="216"/>
      <c r="Y32" s="219" t="str">
        <f t="shared" si="6"/>
        <v/>
      </c>
    </row>
    <row r="33" spans="1:25">
      <c r="A33" s="57">
        <v>23</v>
      </c>
      <c r="B33" s="175" t="str">
        <f>IF('G2 MT Reading Scoresheet'!B33&lt;&gt;"",'G2 MT Reading Scoresheet'!B33,"")</f>
        <v/>
      </c>
      <c r="C33" s="167" t="str">
        <f>IF('G2 MT Reading Scoresheet'!C33&lt;&gt;"",'G2 MT Reading Scoresheet'!C33,"")</f>
        <v/>
      </c>
      <c r="D33" s="168" t="str">
        <f>IF('G2 MT Reading Scoresheet'!D33&lt;&gt;"",'G2 MT Reading Scoresheet'!D33,"")</f>
        <v/>
      </c>
      <c r="E33" s="169" t="str">
        <f>IF('G2 MT Reading Scoresheet'!E33&lt;&gt;"",'G2 MT Reading Scoresheet'!E33,"")</f>
        <v/>
      </c>
      <c r="F33" s="176"/>
      <c r="G33" s="164"/>
      <c r="H33" s="173">
        <v>10</v>
      </c>
      <c r="I33" s="193" t="str">
        <f t="shared" si="0"/>
        <v/>
      </c>
      <c r="J33" s="194" t="str">
        <f t="shared" si="1"/>
        <v/>
      </c>
      <c r="K33" s="197"/>
      <c r="L33" s="199"/>
      <c r="M33" s="166" t="str">
        <f t="shared" si="2"/>
        <v/>
      </c>
      <c r="N33" s="174"/>
      <c r="O33" s="173"/>
      <c r="P33" s="166" t="str">
        <f t="shared" si="3"/>
        <v/>
      </c>
      <c r="Q33" s="213" t="str">
        <f t="shared" si="4"/>
        <v/>
      </c>
      <c r="R33" s="173"/>
      <c r="S33" s="173"/>
      <c r="T33" s="217"/>
      <c r="U33" s="215" t="str">
        <f t="shared" si="5"/>
        <v/>
      </c>
      <c r="V33" s="218"/>
      <c r="Y33" s="219" t="str">
        <f t="shared" si="6"/>
        <v/>
      </c>
    </row>
    <row r="34" spans="1:25">
      <c r="A34" s="165">
        <v>24</v>
      </c>
      <c r="B34" s="175" t="str">
        <f>IF('G2 MT Reading Scoresheet'!B34&lt;&gt;"",'G2 MT Reading Scoresheet'!B34,"")</f>
        <v/>
      </c>
      <c r="C34" s="167" t="str">
        <f>IF('G2 MT Reading Scoresheet'!C34&lt;&gt;"",'G2 MT Reading Scoresheet'!C34,"")</f>
        <v/>
      </c>
      <c r="D34" s="168" t="str">
        <f>IF('G2 MT Reading Scoresheet'!D34&lt;&gt;"",'G2 MT Reading Scoresheet'!D34,"")</f>
        <v/>
      </c>
      <c r="E34" s="169" t="str">
        <f>IF('G2 MT Reading Scoresheet'!E34&lt;&gt;"",'G2 MT Reading Scoresheet'!E34,"")</f>
        <v/>
      </c>
      <c r="F34" s="177"/>
      <c r="G34" s="171"/>
      <c r="H34" s="174">
        <v>10</v>
      </c>
      <c r="I34" s="193" t="str">
        <f t="shared" si="0"/>
        <v/>
      </c>
      <c r="J34" s="194" t="str">
        <f t="shared" si="1"/>
        <v/>
      </c>
      <c r="K34" s="195"/>
      <c r="L34" s="200"/>
      <c r="M34" s="166" t="str">
        <f t="shared" si="2"/>
        <v/>
      </c>
      <c r="N34" s="174"/>
      <c r="O34" s="174"/>
      <c r="P34" s="166" t="str">
        <f t="shared" si="3"/>
        <v/>
      </c>
      <c r="Q34" s="213" t="str">
        <f t="shared" si="4"/>
        <v/>
      </c>
      <c r="R34" s="174"/>
      <c r="S34" s="174"/>
      <c r="T34" s="214"/>
      <c r="U34" s="215" t="str">
        <f t="shared" si="5"/>
        <v/>
      </c>
      <c r="V34" s="216"/>
      <c r="Y34" s="219" t="str">
        <f t="shared" si="6"/>
        <v/>
      </c>
    </row>
    <row r="35" spans="1:25">
      <c r="A35" s="57">
        <v>25</v>
      </c>
      <c r="B35" s="175" t="str">
        <f>IF('G2 MT Reading Scoresheet'!B35&lt;&gt;"",'G2 MT Reading Scoresheet'!B35,"")</f>
        <v/>
      </c>
      <c r="C35" s="167" t="str">
        <f>IF('G2 MT Reading Scoresheet'!C35&lt;&gt;"",'G2 MT Reading Scoresheet'!C35,"")</f>
        <v/>
      </c>
      <c r="D35" s="168" t="str">
        <f>IF('G2 MT Reading Scoresheet'!D35&lt;&gt;"",'G2 MT Reading Scoresheet'!D35,"")</f>
        <v/>
      </c>
      <c r="E35" s="169" t="str">
        <f>IF('G2 MT Reading Scoresheet'!E35&lt;&gt;"",'G2 MT Reading Scoresheet'!E35,"")</f>
        <v/>
      </c>
      <c r="F35" s="176"/>
      <c r="G35" s="164"/>
      <c r="H35" s="173">
        <v>10</v>
      </c>
      <c r="I35" s="193" t="str">
        <f t="shared" si="0"/>
        <v/>
      </c>
      <c r="J35" s="194" t="str">
        <f t="shared" si="1"/>
        <v/>
      </c>
      <c r="K35" s="197"/>
      <c r="L35" s="199"/>
      <c r="M35" s="166" t="str">
        <f t="shared" si="2"/>
        <v/>
      </c>
      <c r="N35" s="173"/>
      <c r="O35" s="173"/>
      <c r="P35" s="166" t="str">
        <f t="shared" si="3"/>
        <v/>
      </c>
      <c r="Q35" s="213" t="str">
        <f t="shared" si="4"/>
        <v/>
      </c>
      <c r="R35" s="173"/>
      <c r="S35" s="173"/>
      <c r="T35" s="217"/>
      <c r="U35" s="215" t="str">
        <f t="shared" si="5"/>
        <v/>
      </c>
      <c r="V35" s="218"/>
      <c r="Y35" s="219" t="str">
        <f t="shared" si="6"/>
        <v/>
      </c>
    </row>
    <row r="36" spans="1:25">
      <c r="A36" s="165">
        <v>26</v>
      </c>
      <c r="B36" s="175" t="str">
        <f>IF('G2 MT Reading Scoresheet'!B36&lt;&gt;"",'G2 MT Reading Scoresheet'!B36,"")</f>
        <v/>
      </c>
      <c r="C36" s="167" t="str">
        <f>IF('G2 MT Reading Scoresheet'!C36&lt;&gt;"",'G2 MT Reading Scoresheet'!C36,"")</f>
        <v/>
      </c>
      <c r="D36" s="168" t="str">
        <f>IF('G2 MT Reading Scoresheet'!D36&lt;&gt;"",'G2 MT Reading Scoresheet'!D36,"")</f>
        <v/>
      </c>
      <c r="E36" s="169" t="str">
        <f>IF('G2 MT Reading Scoresheet'!E36&lt;&gt;"",'G2 MT Reading Scoresheet'!E36,"")</f>
        <v/>
      </c>
      <c r="F36" s="177"/>
      <c r="G36" s="171"/>
      <c r="H36" s="174"/>
      <c r="I36" s="193" t="str">
        <f t="shared" si="0"/>
        <v/>
      </c>
      <c r="J36" s="194" t="str">
        <f t="shared" si="1"/>
        <v/>
      </c>
      <c r="K36" s="195"/>
      <c r="L36" s="196"/>
      <c r="M36" s="166" t="str">
        <f t="shared" si="2"/>
        <v/>
      </c>
      <c r="N36" s="174"/>
      <c r="O36" s="174"/>
      <c r="P36" s="166" t="str">
        <f t="shared" si="3"/>
        <v/>
      </c>
      <c r="Q36" s="213" t="str">
        <f t="shared" si="4"/>
        <v/>
      </c>
      <c r="R36" s="174"/>
      <c r="S36" s="174"/>
      <c r="T36" s="214"/>
      <c r="U36" s="215" t="str">
        <f t="shared" si="5"/>
        <v/>
      </c>
      <c r="V36" s="216"/>
      <c r="Y36" s="219" t="str">
        <f t="shared" si="6"/>
        <v/>
      </c>
    </row>
    <row r="37" spans="1:25">
      <c r="A37" s="57">
        <v>27</v>
      </c>
      <c r="B37" s="175" t="str">
        <f>IF('G2 MT Reading Scoresheet'!B37&lt;&gt;"",'G2 MT Reading Scoresheet'!B37,"")</f>
        <v/>
      </c>
      <c r="C37" s="167" t="str">
        <f>IF('G2 MT Reading Scoresheet'!C37&lt;&gt;"",'G2 MT Reading Scoresheet'!C37,"")</f>
        <v/>
      </c>
      <c r="D37" s="168" t="str">
        <f>IF('G2 MT Reading Scoresheet'!D37&lt;&gt;"",'G2 MT Reading Scoresheet'!D37,"")</f>
        <v/>
      </c>
      <c r="E37" s="169" t="str">
        <f>IF('G2 MT Reading Scoresheet'!E37&lt;&gt;"",'G2 MT Reading Scoresheet'!E37,"")</f>
        <v/>
      </c>
      <c r="F37" s="172"/>
      <c r="G37" s="164"/>
      <c r="H37" s="173"/>
      <c r="I37" s="193" t="str">
        <f t="shared" si="0"/>
        <v/>
      </c>
      <c r="J37" s="194" t="str">
        <f t="shared" si="1"/>
        <v/>
      </c>
      <c r="K37" s="197"/>
      <c r="L37" s="198"/>
      <c r="M37" s="166" t="str">
        <f t="shared" si="2"/>
        <v/>
      </c>
      <c r="N37" s="173"/>
      <c r="O37" s="173"/>
      <c r="P37" s="166" t="str">
        <f t="shared" si="3"/>
        <v/>
      </c>
      <c r="Q37" s="213" t="str">
        <f t="shared" si="4"/>
        <v/>
      </c>
      <c r="R37" s="173"/>
      <c r="S37" s="173"/>
      <c r="T37" s="217"/>
      <c r="U37" s="215" t="str">
        <f t="shared" si="5"/>
        <v/>
      </c>
      <c r="V37" s="218"/>
      <c r="Y37" s="219" t="str">
        <f t="shared" si="6"/>
        <v/>
      </c>
    </row>
    <row r="38" spans="1:25">
      <c r="A38" s="165">
        <v>28</v>
      </c>
      <c r="B38" s="175" t="str">
        <f>IF('G2 MT Reading Scoresheet'!B38&lt;&gt;"",'G2 MT Reading Scoresheet'!B38,"")</f>
        <v/>
      </c>
      <c r="C38" s="167" t="str">
        <f>IF('G2 MT Reading Scoresheet'!C38&lt;&gt;"",'G2 MT Reading Scoresheet'!C38,"")</f>
        <v/>
      </c>
      <c r="D38" s="168" t="str">
        <f>IF('G2 MT Reading Scoresheet'!D38&lt;&gt;"",'G2 MT Reading Scoresheet'!D38,"")</f>
        <v/>
      </c>
      <c r="E38" s="169" t="str">
        <f>IF('G2 MT Reading Scoresheet'!E38&lt;&gt;"",'G2 MT Reading Scoresheet'!E38,"")</f>
        <v/>
      </c>
      <c r="F38" s="170"/>
      <c r="G38" s="171"/>
      <c r="H38" s="174"/>
      <c r="I38" s="193" t="str">
        <f t="shared" si="0"/>
        <v/>
      </c>
      <c r="J38" s="194" t="str">
        <f t="shared" si="1"/>
        <v/>
      </c>
      <c r="K38" s="195"/>
      <c r="L38" s="196"/>
      <c r="M38" s="166" t="str">
        <f t="shared" si="2"/>
        <v/>
      </c>
      <c r="N38" s="174"/>
      <c r="O38" s="174"/>
      <c r="P38" s="166" t="str">
        <f t="shared" si="3"/>
        <v/>
      </c>
      <c r="Q38" s="213" t="str">
        <f t="shared" si="4"/>
        <v/>
      </c>
      <c r="R38" s="174"/>
      <c r="S38" s="174"/>
      <c r="T38" s="214"/>
      <c r="U38" s="215" t="str">
        <f t="shared" si="5"/>
        <v/>
      </c>
      <c r="V38" s="216"/>
      <c r="Y38" s="219" t="str">
        <f t="shared" si="6"/>
        <v/>
      </c>
    </row>
    <row r="39" spans="1:25">
      <c r="A39" s="57">
        <v>29</v>
      </c>
      <c r="B39" s="175" t="str">
        <f>IF('G2 MT Reading Scoresheet'!B39&lt;&gt;"",'G2 MT Reading Scoresheet'!B39,"")</f>
        <v/>
      </c>
      <c r="C39" s="167" t="str">
        <f>IF('G2 MT Reading Scoresheet'!C39&lt;&gt;"",'G2 MT Reading Scoresheet'!C39,"")</f>
        <v/>
      </c>
      <c r="D39" s="168" t="str">
        <f>IF('G2 MT Reading Scoresheet'!D39&lt;&gt;"",'G2 MT Reading Scoresheet'!D39,"")</f>
        <v/>
      </c>
      <c r="E39" s="169" t="str">
        <f>IF('G2 MT Reading Scoresheet'!E39&lt;&gt;"",'G2 MT Reading Scoresheet'!E39,"")</f>
        <v/>
      </c>
      <c r="F39" s="172"/>
      <c r="G39" s="164"/>
      <c r="H39" s="173"/>
      <c r="I39" s="193" t="str">
        <f t="shared" si="0"/>
        <v/>
      </c>
      <c r="J39" s="194" t="str">
        <f t="shared" si="1"/>
        <v/>
      </c>
      <c r="K39" s="197"/>
      <c r="L39" s="198"/>
      <c r="M39" s="166" t="str">
        <f t="shared" si="2"/>
        <v/>
      </c>
      <c r="N39" s="173"/>
      <c r="O39" s="173"/>
      <c r="P39" s="166" t="str">
        <f t="shared" si="3"/>
        <v/>
      </c>
      <c r="Q39" s="213" t="str">
        <f t="shared" si="4"/>
        <v/>
      </c>
      <c r="R39" s="173"/>
      <c r="S39" s="173"/>
      <c r="T39" s="217"/>
      <c r="U39" s="215" t="str">
        <f t="shared" si="5"/>
        <v/>
      </c>
      <c r="V39" s="218"/>
      <c r="Y39" s="219" t="str">
        <f t="shared" si="6"/>
        <v/>
      </c>
    </row>
    <row r="40" spans="1:25">
      <c r="A40" s="165">
        <v>30</v>
      </c>
      <c r="B40" s="175" t="str">
        <f>IF('G2 MT Reading Scoresheet'!B40&lt;&gt;"",'G2 MT Reading Scoresheet'!B40,"")</f>
        <v/>
      </c>
      <c r="C40" s="167" t="str">
        <f>IF('G2 MT Reading Scoresheet'!C40&lt;&gt;"",'G2 MT Reading Scoresheet'!C40,"")</f>
        <v/>
      </c>
      <c r="D40" s="168" t="str">
        <f>IF('G2 MT Reading Scoresheet'!D40&lt;&gt;"",'G2 MT Reading Scoresheet'!D40,"")</f>
        <v/>
      </c>
      <c r="E40" s="169" t="str">
        <f>IF('G2 MT Reading Scoresheet'!E40&lt;&gt;"",'G2 MT Reading Scoresheet'!E40,"")</f>
        <v/>
      </c>
      <c r="F40" s="170"/>
      <c r="G40" s="171"/>
      <c r="H40" s="174"/>
      <c r="I40" s="193" t="str">
        <f t="shared" si="0"/>
        <v/>
      </c>
      <c r="J40" s="194" t="str">
        <f t="shared" si="1"/>
        <v/>
      </c>
      <c r="K40" s="195"/>
      <c r="L40" s="196"/>
      <c r="M40" s="166" t="str">
        <f t="shared" si="2"/>
        <v/>
      </c>
      <c r="N40" s="174"/>
      <c r="O40" s="174"/>
      <c r="P40" s="166" t="str">
        <f t="shared" si="3"/>
        <v/>
      </c>
      <c r="Q40" s="213" t="str">
        <f t="shared" si="4"/>
        <v/>
      </c>
      <c r="R40" s="174"/>
      <c r="S40" s="174"/>
      <c r="T40" s="214"/>
      <c r="U40" s="215" t="str">
        <f t="shared" si="5"/>
        <v/>
      </c>
      <c r="V40" s="216"/>
      <c r="Y40" s="219" t="str">
        <f t="shared" si="6"/>
        <v/>
      </c>
    </row>
    <row r="41" spans="1:25">
      <c r="A41" s="57">
        <v>31</v>
      </c>
      <c r="B41" s="175" t="str">
        <f>IF('G2 MT Reading Scoresheet'!B41&lt;&gt;"",'G2 MT Reading Scoresheet'!B41,"")</f>
        <v/>
      </c>
      <c r="C41" s="167" t="str">
        <f>IF('G2 MT Reading Scoresheet'!C41&lt;&gt;"",'G2 MT Reading Scoresheet'!C41,"")</f>
        <v/>
      </c>
      <c r="D41" s="168" t="str">
        <f>IF('G2 MT Reading Scoresheet'!D41&lt;&gt;"",'G2 MT Reading Scoresheet'!D41,"")</f>
        <v/>
      </c>
      <c r="E41" s="169" t="str">
        <f>IF('G2 MT Reading Scoresheet'!E41&lt;&gt;"",'G2 MT Reading Scoresheet'!E41,"")</f>
        <v/>
      </c>
      <c r="F41" s="172"/>
      <c r="G41" s="164"/>
      <c r="H41" s="173"/>
      <c r="I41" s="193" t="str">
        <f t="shared" si="0"/>
        <v/>
      </c>
      <c r="J41" s="194" t="str">
        <f t="shared" si="1"/>
        <v/>
      </c>
      <c r="K41" s="197"/>
      <c r="L41" s="198"/>
      <c r="M41" s="166" t="str">
        <f t="shared" si="2"/>
        <v/>
      </c>
      <c r="N41" s="173"/>
      <c r="O41" s="173"/>
      <c r="P41" s="166" t="str">
        <f t="shared" si="3"/>
        <v/>
      </c>
      <c r="Q41" s="213" t="str">
        <f t="shared" si="4"/>
        <v/>
      </c>
      <c r="R41" s="173"/>
      <c r="S41" s="173"/>
      <c r="T41" s="217"/>
      <c r="U41" s="215" t="str">
        <f t="shared" si="5"/>
        <v/>
      </c>
      <c r="V41" s="218"/>
      <c r="Y41" s="219" t="str">
        <f t="shared" si="6"/>
        <v/>
      </c>
    </row>
    <row r="42" spans="1:25">
      <c r="A42" s="165">
        <v>32</v>
      </c>
      <c r="B42" s="175" t="str">
        <f>IF('G2 MT Reading Scoresheet'!B42&lt;&gt;"",'G2 MT Reading Scoresheet'!B42,"")</f>
        <v/>
      </c>
      <c r="C42" s="167" t="str">
        <f>IF('G2 MT Reading Scoresheet'!C42&lt;&gt;"",'G2 MT Reading Scoresheet'!C42,"")</f>
        <v/>
      </c>
      <c r="D42" s="168" t="str">
        <f>IF('G2 MT Reading Scoresheet'!D42&lt;&gt;"",'G2 MT Reading Scoresheet'!D42,"")</f>
        <v/>
      </c>
      <c r="E42" s="169" t="str">
        <f>IF('G2 MT Reading Scoresheet'!E42&lt;&gt;"",'G2 MT Reading Scoresheet'!E42,"")</f>
        <v/>
      </c>
      <c r="F42" s="170"/>
      <c r="G42" s="171"/>
      <c r="H42" s="174"/>
      <c r="I42" s="193" t="str">
        <f t="shared" si="0"/>
        <v/>
      </c>
      <c r="J42" s="194" t="str">
        <f t="shared" si="1"/>
        <v/>
      </c>
      <c r="K42" s="195"/>
      <c r="L42" s="196"/>
      <c r="M42" s="166" t="str">
        <f t="shared" si="2"/>
        <v/>
      </c>
      <c r="N42" s="174"/>
      <c r="O42" s="174"/>
      <c r="P42" s="166" t="str">
        <f t="shared" si="3"/>
        <v/>
      </c>
      <c r="Q42" s="213" t="str">
        <f t="shared" si="4"/>
        <v/>
      </c>
      <c r="R42" s="174"/>
      <c r="S42" s="174"/>
      <c r="T42" s="214"/>
      <c r="U42" s="215" t="str">
        <f t="shared" si="5"/>
        <v/>
      </c>
      <c r="V42" s="216"/>
      <c r="Y42" s="219" t="str">
        <f t="shared" si="6"/>
        <v/>
      </c>
    </row>
    <row r="43" spans="1:25">
      <c r="A43" s="57">
        <v>33</v>
      </c>
      <c r="B43" s="175" t="str">
        <f>IF('G2 MT Reading Scoresheet'!B43&lt;&gt;"",'G2 MT Reading Scoresheet'!B43,"")</f>
        <v/>
      </c>
      <c r="C43" s="167" t="str">
        <f>IF('G2 MT Reading Scoresheet'!C43&lt;&gt;"",'G2 MT Reading Scoresheet'!C43,"")</f>
        <v/>
      </c>
      <c r="D43" s="168" t="str">
        <f>IF('G2 MT Reading Scoresheet'!D43&lt;&gt;"",'G2 MT Reading Scoresheet'!D43,"")</f>
        <v/>
      </c>
      <c r="E43" s="169" t="str">
        <f>IF('G2 MT Reading Scoresheet'!E43&lt;&gt;"",'G2 MT Reading Scoresheet'!E43,"")</f>
        <v/>
      </c>
      <c r="F43" s="172"/>
      <c r="G43" s="164"/>
      <c r="H43" s="173"/>
      <c r="I43" s="193" t="str">
        <f t="shared" si="0"/>
        <v/>
      </c>
      <c r="J43" s="194" t="str">
        <f t="shared" si="1"/>
        <v/>
      </c>
      <c r="K43" s="197"/>
      <c r="L43" s="198"/>
      <c r="M43" s="166" t="str">
        <f t="shared" si="2"/>
        <v/>
      </c>
      <c r="N43" s="173"/>
      <c r="O43" s="173"/>
      <c r="P43" s="166" t="str">
        <f t="shared" si="3"/>
        <v/>
      </c>
      <c r="Q43" s="213" t="str">
        <f t="shared" si="4"/>
        <v/>
      </c>
      <c r="R43" s="173"/>
      <c r="S43" s="173"/>
      <c r="T43" s="217"/>
      <c r="U43" s="215" t="str">
        <f t="shared" si="5"/>
        <v/>
      </c>
      <c r="V43" s="218"/>
      <c r="Y43" s="219" t="str">
        <f t="shared" si="6"/>
        <v/>
      </c>
    </row>
    <row r="44" spans="1:25">
      <c r="A44" s="165">
        <v>34</v>
      </c>
      <c r="B44" s="175" t="str">
        <f>IF('G2 MT Reading Scoresheet'!B44&lt;&gt;"",'G2 MT Reading Scoresheet'!B44,"")</f>
        <v/>
      </c>
      <c r="C44" s="167" t="str">
        <f>IF('G2 MT Reading Scoresheet'!C44&lt;&gt;"",'G2 MT Reading Scoresheet'!C44,"")</f>
        <v/>
      </c>
      <c r="D44" s="168" t="str">
        <f>IF('G2 MT Reading Scoresheet'!D44&lt;&gt;"",'G2 MT Reading Scoresheet'!D44,"")</f>
        <v/>
      </c>
      <c r="E44" s="169" t="str">
        <f>IF('G2 MT Reading Scoresheet'!E44&lt;&gt;"",'G2 MT Reading Scoresheet'!E44,"")</f>
        <v/>
      </c>
      <c r="F44" s="170"/>
      <c r="G44" s="171"/>
      <c r="H44" s="174"/>
      <c r="I44" s="193" t="str">
        <f t="shared" si="0"/>
        <v/>
      </c>
      <c r="J44" s="194" t="str">
        <f t="shared" si="1"/>
        <v/>
      </c>
      <c r="K44" s="195"/>
      <c r="L44" s="196"/>
      <c r="M44" s="166" t="str">
        <f t="shared" si="2"/>
        <v/>
      </c>
      <c r="N44" s="174"/>
      <c r="O44" s="174"/>
      <c r="P44" s="166" t="str">
        <f t="shared" si="3"/>
        <v/>
      </c>
      <c r="Q44" s="213" t="str">
        <f t="shared" si="4"/>
        <v/>
      </c>
      <c r="R44" s="174"/>
      <c r="S44" s="174"/>
      <c r="T44" s="214"/>
      <c r="U44" s="215" t="str">
        <f t="shared" si="5"/>
        <v/>
      </c>
      <c r="V44" s="216"/>
      <c r="Y44" s="219" t="str">
        <f t="shared" si="6"/>
        <v/>
      </c>
    </row>
    <row r="45" spans="1:25">
      <c r="A45" s="57">
        <v>35</v>
      </c>
      <c r="B45" s="175" t="str">
        <f>IF('G2 MT Reading Scoresheet'!B45&lt;&gt;"",'G2 MT Reading Scoresheet'!B45,"")</f>
        <v/>
      </c>
      <c r="C45" s="167" t="str">
        <f>IF('G2 MT Reading Scoresheet'!C45&lt;&gt;"",'G2 MT Reading Scoresheet'!C45,"")</f>
        <v/>
      </c>
      <c r="D45" s="168" t="str">
        <f>IF('G2 MT Reading Scoresheet'!D45&lt;&gt;"",'G2 MT Reading Scoresheet'!D45,"")</f>
        <v/>
      </c>
      <c r="E45" s="169" t="str">
        <f>IF('G2 MT Reading Scoresheet'!E45&lt;&gt;"",'G2 MT Reading Scoresheet'!E45,"")</f>
        <v/>
      </c>
      <c r="F45" s="172"/>
      <c r="G45" s="164"/>
      <c r="H45" s="173"/>
      <c r="I45" s="193" t="str">
        <f t="shared" si="0"/>
        <v/>
      </c>
      <c r="J45" s="194" t="str">
        <f t="shared" si="1"/>
        <v/>
      </c>
      <c r="K45" s="197"/>
      <c r="L45" s="198"/>
      <c r="M45" s="166" t="str">
        <f t="shared" si="2"/>
        <v/>
      </c>
      <c r="N45" s="173"/>
      <c r="O45" s="173"/>
      <c r="P45" s="166" t="str">
        <f t="shared" si="3"/>
        <v/>
      </c>
      <c r="Q45" s="213" t="str">
        <f t="shared" si="4"/>
        <v/>
      </c>
      <c r="R45" s="173"/>
      <c r="S45" s="173"/>
      <c r="T45" s="217"/>
      <c r="U45" s="215" t="str">
        <f t="shared" si="5"/>
        <v/>
      </c>
      <c r="V45" s="218"/>
      <c r="Y45" s="219" t="str">
        <f t="shared" si="6"/>
        <v/>
      </c>
    </row>
    <row r="46" spans="1:25">
      <c r="A46" s="165">
        <v>36</v>
      </c>
      <c r="B46" s="175" t="str">
        <f>IF('G2 MT Reading Scoresheet'!B46&lt;&gt;"",'G2 MT Reading Scoresheet'!B46,"")</f>
        <v/>
      </c>
      <c r="C46" s="167" t="str">
        <f>IF('G2 MT Reading Scoresheet'!C46&lt;&gt;"",'G2 MT Reading Scoresheet'!C46,"")</f>
        <v/>
      </c>
      <c r="D46" s="168" t="str">
        <f>IF('G2 MT Reading Scoresheet'!D46&lt;&gt;"",'G2 MT Reading Scoresheet'!D46,"")</f>
        <v/>
      </c>
      <c r="E46" s="169" t="str">
        <f>IF('G2 MT Reading Scoresheet'!E46&lt;&gt;"",'G2 MT Reading Scoresheet'!E46,"")</f>
        <v/>
      </c>
      <c r="F46" s="170"/>
      <c r="G46" s="171"/>
      <c r="H46" s="174"/>
      <c r="I46" s="193" t="str">
        <f t="shared" si="0"/>
        <v/>
      </c>
      <c r="J46" s="194" t="str">
        <f t="shared" si="1"/>
        <v/>
      </c>
      <c r="K46" s="195"/>
      <c r="L46" s="196"/>
      <c r="M46" s="166" t="str">
        <f t="shared" si="2"/>
        <v/>
      </c>
      <c r="N46" s="174"/>
      <c r="O46" s="174"/>
      <c r="P46" s="166" t="str">
        <f t="shared" si="3"/>
        <v/>
      </c>
      <c r="Q46" s="213" t="str">
        <f t="shared" si="4"/>
        <v/>
      </c>
      <c r="R46" s="174"/>
      <c r="S46" s="174"/>
      <c r="T46" s="214"/>
      <c r="U46" s="215" t="str">
        <f t="shared" si="5"/>
        <v/>
      </c>
      <c r="V46" s="216"/>
      <c r="Y46" s="219" t="str">
        <f t="shared" si="6"/>
        <v/>
      </c>
    </row>
    <row r="47" spans="1:25">
      <c r="A47" s="57">
        <v>37</v>
      </c>
      <c r="B47" s="175" t="str">
        <f>IF('G2 MT Reading Scoresheet'!B47&lt;&gt;"",'G2 MT Reading Scoresheet'!B47,"")</f>
        <v/>
      </c>
      <c r="C47" s="167" t="str">
        <f>IF('G2 MT Reading Scoresheet'!C47&lt;&gt;"",'G2 MT Reading Scoresheet'!C47,"")</f>
        <v/>
      </c>
      <c r="D47" s="168" t="str">
        <f>IF('G2 MT Reading Scoresheet'!D47&lt;&gt;"",'G2 MT Reading Scoresheet'!D47,"")</f>
        <v/>
      </c>
      <c r="E47" s="169" t="str">
        <f>IF('G2 MT Reading Scoresheet'!E47&lt;&gt;"",'G2 MT Reading Scoresheet'!E47,"")</f>
        <v/>
      </c>
      <c r="F47" s="172"/>
      <c r="G47" s="164"/>
      <c r="H47" s="173"/>
      <c r="I47" s="193" t="str">
        <f t="shared" si="0"/>
        <v/>
      </c>
      <c r="J47" s="194" t="str">
        <f t="shared" si="1"/>
        <v/>
      </c>
      <c r="K47" s="197"/>
      <c r="L47" s="198"/>
      <c r="M47" s="166" t="str">
        <f t="shared" si="2"/>
        <v/>
      </c>
      <c r="N47" s="173"/>
      <c r="O47" s="173"/>
      <c r="P47" s="166" t="str">
        <f t="shared" si="3"/>
        <v/>
      </c>
      <c r="Q47" s="213" t="str">
        <f t="shared" si="4"/>
        <v/>
      </c>
      <c r="R47" s="173"/>
      <c r="S47" s="173"/>
      <c r="T47" s="217"/>
      <c r="U47" s="215" t="str">
        <f t="shared" si="5"/>
        <v/>
      </c>
      <c r="V47" s="218"/>
      <c r="Y47" s="219" t="str">
        <f t="shared" si="6"/>
        <v/>
      </c>
    </row>
    <row r="48" spans="1:25">
      <c r="A48" s="165">
        <v>38</v>
      </c>
      <c r="B48" s="175" t="str">
        <f>IF('G2 MT Reading Scoresheet'!B48&lt;&gt;"",'G2 MT Reading Scoresheet'!B48,"")</f>
        <v/>
      </c>
      <c r="C48" s="167" t="str">
        <f>IF('G2 MT Reading Scoresheet'!C48&lt;&gt;"",'G2 MT Reading Scoresheet'!C48,"")</f>
        <v/>
      </c>
      <c r="D48" s="168" t="str">
        <f>IF('G2 MT Reading Scoresheet'!D48&lt;&gt;"",'G2 MT Reading Scoresheet'!D48,"")</f>
        <v/>
      </c>
      <c r="E48" s="169" t="str">
        <f>IF('G2 MT Reading Scoresheet'!E48&lt;&gt;"",'G2 MT Reading Scoresheet'!E48,"")</f>
        <v/>
      </c>
      <c r="F48" s="170"/>
      <c r="G48" s="171"/>
      <c r="H48" s="174"/>
      <c r="I48" s="193" t="str">
        <f t="shared" si="0"/>
        <v/>
      </c>
      <c r="J48" s="194" t="str">
        <f t="shared" si="1"/>
        <v/>
      </c>
      <c r="K48" s="195"/>
      <c r="L48" s="196"/>
      <c r="M48" s="166" t="str">
        <f t="shared" si="2"/>
        <v/>
      </c>
      <c r="N48" s="174"/>
      <c r="O48" s="174"/>
      <c r="P48" s="166" t="str">
        <f t="shared" si="3"/>
        <v/>
      </c>
      <c r="Q48" s="213" t="str">
        <f t="shared" si="4"/>
        <v/>
      </c>
      <c r="R48" s="174"/>
      <c r="S48" s="174"/>
      <c r="T48" s="214"/>
      <c r="U48" s="215" t="str">
        <f t="shared" si="5"/>
        <v/>
      </c>
      <c r="V48" s="216"/>
      <c r="Y48" s="219" t="str">
        <f t="shared" si="6"/>
        <v/>
      </c>
    </row>
    <row r="49" spans="1:25">
      <c r="A49" s="57">
        <v>39</v>
      </c>
      <c r="B49" s="175" t="str">
        <f>IF('G2 MT Reading Scoresheet'!B49&lt;&gt;"",'G2 MT Reading Scoresheet'!B49,"")</f>
        <v/>
      </c>
      <c r="C49" s="167" t="str">
        <f>IF('G2 MT Reading Scoresheet'!C49&lt;&gt;"",'G2 MT Reading Scoresheet'!C49,"")</f>
        <v/>
      </c>
      <c r="D49" s="168" t="str">
        <f>IF('G2 MT Reading Scoresheet'!D49&lt;&gt;"",'G2 MT Reading Scoresheet'!D49,"")</f>
        <v/>
      </c>
      <c r="E49" s="169" t="str">
        <f>IF('G2 MT Reading Scoresheet'!E49&lt;&gt;"",'G2 MT Reading Scoresheet'!E49,"")</f>
        <v/>
      </c>
      <c r="F49" s="172"/>
      <c r="G49" s="164"/>
      <c r="H49" s="173"/>
      <c r="I49" s="193" t="str">
        <f t="shared" si="0"/>
        <v/>
      </c>
      <c r="J49" s="194" t="str">
        <f t="shared" si="1"/>
        <v/>
      </c>
      <c r="K49" s="197"/>
      <c r="L49" s="198"/>
      <c r="M49" s="166" t="str">
        <f t="shared" si="2"/>
        <v/>
      </c>
      <c r="N49" s="173"/>
      <c r="O49" s="173"/>
      <c r="P49" s="166" t="str">
        <f t="shared" si="3"/>
        <v/>
      </c>
      <c r="Q49" s="213" t="str">
        <f t="shared" si="4"/>
        <v/>
      </c>
      <c r="R49" s="173"/>
      <c r="S49" s="173"/>
      <c r="T49" s="217"/>
      <c r="U49" s="215" t="str">
        <f t="shared" si="5"/>
        <v/>
      </c>
      <c r="V49" s="218"/>
      <c r="Y49" s="219" t="str">
        <f t="shared" si="6"/>
        <v/>
      </c>
    </row>
    <row r="50" spans="1:25">
      <c r="A50" s="165">
        <v>40</v>
      </c>
      <c r="B50" s="175" t="str">
        <f>IF('G2 MT Reading Scoresheet'!B50&lt;&gt;"",'G2 MT Reading Scoresheet'!B50,"")</f>
        <v/>
      </c>
      <c r="C50" s="167" t="str">
        <f>IF('G2 MT Reading Scoresheet'!C50&lt;&gt;"",'G2 MT Reading Scoresheet'!C50,"")</f>
        <v/>
      </c>
      <c r="D50" s="168" t="str">
        <f>IF('G2 MT Reading Scoresheet'!D50&lt;&gt;"",'G2 MT Reading Scoresheet'!D50,"")</f>
        <v/>
      </c>
      <c r="E50" s="169" t="str">
        <f>IF('G2 MT Reading Scoresheet'!E50&lt;&gt;"",'G2 MT Reading Scoresheet'!E50,"")</f>
        <v/>
      </c>
      <c r="F50" s="170"/>
      <c r="G50" s="171"/>
      <c r="H50" s="174"/>
      <c r="I50" s="193" t="str">
        <f t="shared" si="0"/>
        <v/>
      </c>
      <c r="J50" s="194" t="str">
        <f t="shared" si="1"/>
        <v/>
      </c>
      <c r="K50" s="195"/>
      <c r="L50" s="196"/>
      <c r="M50" s="166" t="str">
        <f t="shared" si="2"/>
        <v/>
      </c>
      <c r="N50" s="174"/>
      <c r="O50" s="174"/>
      <c r="P50" s="166" t="str">
        <f t="shared" si="3"/>
        <v/>
      </c>
      <c r="Q50" s="213" t="str">
        <f t="shared" si="4"/>
        <v/>
      </c>
      <c r="R50" s="174"/>
      <c r="S50" s="174"/>
      <c r="T50" s="214"/>
      <c r="U50" s="215" t="str">
        <f t="shared" si="5"/>
        <v/>
      </c>
      <c r="V50" s="216"/>
      <c r="Y50" s="219" t="str">
        <f t="shared" si="6"/>
        <v/>
      </c>
    </row>
    <row r="51" spans="1:25">
      <c r="A51" s="57">
        <v>41</v>
      </c>
      <c r="B51" s="175" t="str">
        <f>IF('G2 MT Reading Scoresheet'!B51&lt;&gt;"",'G2 MT Reading Scoresheet'!B51,"")</f>
        <v/>
      </c>
      <c r="C51" s="167" t="str">
        <f>IF('G2 MT Reading Scoresheet'!C51&lt;&gt;"",'G2 MT Reading Scoresheet'!C51,"")</f>
        <v/>
      </c>
      <c r="D51" s="168" t="str">
        <f>IF('G2 MT Reading Scoresheet'!D51&lt;&gt;"",'G2 MT Reading Scoresheet'!D51,"")</f>
        <v/>
      </c>
      <c r="E51" s="169" t="str">
        <f>IF('G2 MT Reading Scoresheet'!E51&lt;&gt;"",'G2 MT Reading Scoresheet'!E51,"")</f>
        <v/>
      </c>
      <c r="F51" s="172"/>
      <c r="G51" s="164"/>
      <c r="H51" s="173"/>
      <c r="I51" s="193" t="str">
        <f t="shared" si="0"/>
        <v/>
      </c>
      <c r="J51" s="194" t="str">
        <f t="shared" si="1"/>
        <v/>
      </c>
      <c r="K51" s="197"/>
      <c r="L51" s="198"/>
      <c r="M51" s="166" t="str">
        <f t="shared" si="2"/>
        <v/>
      </c>
      <c r="N51" s="173"/>
      <c r="O51" s="173"/>
      <c r="P51" s="166" t="str">
        <f t="shared" si="3"/>
        <v/>
      </c>
      <c r="Q51" s="213" t="str">
        <f t="shared" si="4"/>
        <v/>
      </c>
      <c r="R51" s="173"/>
      <c r="S51" s="173"/>
      <c r="T51" s="217"/>
      <c r="U51" s="215" t="str">
        <f t="shared" si="5"/>
        <v/>
      </c>
      <c r="V51" s="218"/>
      <c r="Y51" s="219" t="str">
        <f t="shared" si="6"/>
        <v/>
      </c>
    </row>
    <row r="52" spans="1:25">
      <c r="A52" s="165">
        <v>42</v>
      </c>
      <c r="B52" s="175" t="str">
        <f>IF('G2 MT Reading Scoresheet'!B52&lt;&gt;"",'G2 MT Reading Scoresheet'!B52,"")</f>
        <v/>
      </c>
      <c r="C52" s="167" t="str">
        <f>IF('G2 MT Reading Scoresheet'!C52&lt;&gt;"",'G2 MT Reading Scoresheet'!C52,"")</f>
        <v/>
      </c>
      <c r="D52" s="168" t="str">
        <f>IF('G2 MT Reading Scoresheet'!D52&lt;&gt;"",'G2 MT Reading Scoresheet'!D52,"")</f>
        <v/>
      </c>
      <c r="E52" s="169" t="str">
        <f>IF('G2 MT Reading Scoresheet'!E52&lt;&gt;"",'G2 MT Reading Scoresheet'!E52,"")</f>
        <v/>
      </c>
      <c r="F52" s="170"/>
      <c r="G52" s="171"/>
      <c r="H52" s="174"/>
      <c r="I52" s="193" t="str">
        <f t="shared" si="0"/>
        <v/>
      </c>
      <c r="J52" s="194" t="str">
        <f t="shared" si="1"/>
        <v/>
      </c>
      <c r="K52" s="195"/>
      <c r="L52" s="196"/>
      <c r="M52" s="166" t="str">
        <f t="shared" si="2"/>
        <v/>
      </c>
      <c r="N52" s="174"/>
      <c r="O52" s="174"/>
      <c r="P52" s="166" t="str">
        <f t="shared" si="3"/>
        <v/>
      </c>
      <c r="Q52" s="213" t="str">
        <f t="shared" si="4"/>
        <v/>
      </c>
      <c r="R52" s="174"/>
      <c r="S52" s="174"/>
      <c r="T52" s="214"/>
      <c r="U52" s="215" t="str">
        <f t="shared" si="5"/>
        <v/>
      </c>
      <c r="V52" s="216"/>
      <c r="Y52" s="219" t="str">
        <f t="shared" si="6"/>
        <v/>
      </c>
    </row>
    <row r="53" spans="1:25">
      <c r="A53" s="57">
        <v>43</v>
      </c>
      <c r="B53" s="175" t="str">
        <f>IF('G2 MT Reading Scoresheet'!B53&lt;&gt;"",'G2 MT Reading Scoresheet'!B53,"")</f>
        <v/>
      </c>
      <c r="C53" s="167" t="str">
        <f>IF('G2 MT Reading Scoresheet'!C53&lt;&gt;"",'G2 MT Reading Scoresheet'!C53,"")</f>
        <v/>
      </c>
      <c r="D53" s="168" t="str">
        <f>IF('G2 MT Reading Scoresheet'!D53&lt;&gt;"",'G2 MT Reading Scoresheet'!D53,"")</f>
        <v/>
      </c>
      <c r="E53" s="169" t="str">
        <f>IF('G2 MT Reading Scoresheet'!E53&lt;&gt;"",'G2 MT Reading Scoresheet'!E53,"")</f>
        <v/>
      </c>
      <c r="F53" s="172"/>
      <c r="G53" s="164"/>
      <c r="H53" s="173"/>
      <c r="I53" s="193" t="str">
        <f t="shared" si="0"/>
        <v/>
      </c>
      <c r="J53" s="194" t="str">
        <f t="shared" si="1"/>
        <v/>
      </c>
      <c r="K53" s="197"/>
      <c r="L53" s="198"/>
      <c r="M53" s="166" t="str">
        <f t="shared" si="2"/>
        <v/>
      </c>
      <c r="N53" s="173"/>
      <c r="O53" s="173"/>
      <c r="P53" s="166" t="str">
        <f t="shared" si="3"/>
        <v/>
      </c>
      <c r="Q53" s="213" t="str">
        <f t="shared" si="4"/>
        <v/>
      </c>
      <c r="R53" s="173"/>
      <c r="S53" s="173"/>
      <c r="T53" s="217"/>
      <c r="U53" s="215" t="str">
        <f t="shared" si="5"/>
        <v/>
      </c>
      <c r="V53" s="218"/>
      <c r="Y53" s="219" t="str">
        <f t="shared" si="6"/>
        <v/>
      </c>
    </row>
    <row r="54" spans="1:25">
      <c r="A54" s="165">
        <v>44</v>
      </c>
      <c r="B54" s="175" t="str">
        <f>IF('G2 MT Reading Scoresheet'!B54&lt;&gt;"",'G2 MT Reading Scoresheet'!B54,"")</f>
        <v/>
      </c>
      <c r="C54" s="167" t="str">
        <f>IF('G2 MT Reading Scoresheet'!C54&lt;&gt;"",'G2 MT Reading Scoresheet'!C54,"")</f>
        <v/>
      </c>
      <c r="D54" s="168" t="str">
        <f>IF('G2 MT Reading Scoresheet'!D54&lt;&gt;"",'G2 MT Reading Scoresheet'!D54,"")</f>
        <v/>
      </c>
      <c r="E54" s="169" t="str">
        <f>IF('G2 MT Reading Scoresheet'!E54&lt;&gt;"",'G2 MT Reading Scoresheet'!E54,"")</f>
        <v/>
      </c>
      <c r="F54" s="170"/>
      <c r="G54" s="171"/>
      <c r="H54" s="174"/>
      <c r="I54" s="193" t="str">
        <f t="shared" si="0"/>
        <v/>
      </c>
      <c r="J54" s="194" t="str">
        <f t="shared" si="1"/>
        <v/>
      </c>
      <c r="K54" s="195"/>
      <c r="L54" s="196"/>
      <c r="M54" s="166" t="str">
        <f t="shared" si="2"/>
        <v/>
      </c>
      <c r="N54" s="174"/>
      <c r="O54" s="174"/>
      <c r="P54" s="166" t="str">
        <f t="shared" si="3"/>
        <v/>
      </c>
      <c r="Q54" s="213" t="str">
        <f t="shared" si="4"/>
        <v/>
      </c>
      <c r="R54" s="174"/>
      <c r="S54" s="174"/>
      <c r="T54" s="214"/>
      <c r="U54" s="215" t="str">
        <f t="shared" si="5"/>
        <v/>
      </c>
      <c r="V54" s="216"/>
      <c r="Y54" s="219" t="str">
        <f t="shared" si="6"/>
        <v/>
      </c>
    </row>
    <row r="55" spans="1:25">
      <c r="A55" s="57">
        <v>45</v>
      </c>
      <c r="B55" s="175" t="str">
        <f>IF('G2 MT Reading Scoresheet'!B55&lt;&gt;"",'G2 MT Reading Scoresheet'!B55,"")</f>
        <v/>
      </c>
      <c r="C55" s="167" t="str">
        <f>IF('G2 MT Reading Scoresheet'!C55&lt;&gt;"",'G2 MT Reading Scoresheet'!C55,"")</f>
        <v/>
      </c>
      <c r="D55" s="168" t="str">
        <f>IF('G2 MT Reading Scoresheet'!D55&lt;&gt;"",'G2 MT Reading Scoresheet'!D55,"")</f>
        <v/>
      </c>
      <c r="E55" s="169" t="str">
        <f>IF('G2 MT Reading Scoresheet'!E55&lt;&gt;"",'G2 MT Reading Scoresheet'!E55,"")</f>
        <v/>
      </c>
      <c r="F55" s="172"/>
      <c r="G55" s="164"/>
      <c r="H55" s="173"/>
      <c r="I55" s="193" t="str">
        <f t="shared" si="0"/>
        <v/>
      </c>
      <c r="J55" s="194" t="str">
        <f t="shared" si="1"/>
        <v/>
      </c>
      <c r="K55" s="197"/>
      <c r="L55" s="198"/>
      <c r="M55" s="166" t="str">
        <f t="shared" si="2"/>
        <v/>
      </c>
      <c r="N55" s="173"/>
      <c r="O55" s="173"/>
      <c r="P55" s="166" t="str">
        <f t="shared" si="3"/>
        <v/>
      </c>
      <c r="Q55" s="213" t="str">
        <f t="shared" si="4"/>
        <v/>
      </c>
      <c r="R55" s="173"/>
      <c r="S55" s="173"/>
      <c r="T55" s="217"/>
      <c r="U55" s="215" t="str">
        <f t="shared" si="5"/>
        <v/>
      </c>
      <c r="V55" s="218"/>
      <c r="Y55" s="219" t="str">
        <f t="shared" si="6"/>
        <v/>
      </c>
    </row>
    <row r="56" spans="1:25">
      <c r="A56" s="165">
        <v>46</v>
      </c>
      <c r="B56" s="175" t="str">
        <f>IF('G2 MT Reading Scoresheet'!B56&lt;&gt;"",'G2 MT Reading Scoresheet'!B56,"")</f>
        <v/>
      </c>
      <c r="C56" s="167" t="str">
        <f>IF('G2 MT Reading Scoresheet'!C56&lt;&gt;"",'G2 MT Reading Scoresheet'!C56,"")</f>
        <v/>
      </c>
      <c r="D56" s="168" t="str">
        <f>IF('G2 MT Reading Scoresheet'!D56&lt;&gt;"",'G2 MT Reading Scoresheet'!D56,"")</f>
        <v/>
      </c>
      <c r="E56" s="169" t="str">
        <f>IF('G2 MT Reading Scoresheet'!E56&lt;&gt;"",'G2 MT Reading Scoresheet'!E56,"")</f>
        <v/>
      </c>
      <c r="F56" s="170"/>
      <c r="G56" s="171"/>
      <c r="H56" s="174"/>
      <c r="I56" s="193" t="str">
        <f t="shared" si="0"/>
        <v/>
      </c>
      <c r="J56" s="194" t="str">
        <f t="shared" si="1"/>
        <v/>
      </c>
      <c r="K56" s="195"/>
      <c r="L56" s="196"/>
      <c r="M56" s="166" t="str">
        <f t="shared" si="2"/>
        <v/>
      </c>
      <c r="N56" s="174"/>
      <c r="O56" s="174"/>
      <c r="P56" s="166" t="str">
        <f t="shared" si="3"/>
        <v/>
      </c>
      <c r="Q56" s="213" t="str">
        <f t="shared" si="4"/>
        <v/>
      </c>
      <c r="R56" s="174"/>
      <c r="S56" s="174"/>
      <c r="T56" s="214"/>
      <c r="U56" s="215" t="str">
        <f t="shared" si="5"/>
        <v/>
      </c>
      <c r="V56" s="216"/>
      <c r="Y56" s="219" t="str">
        <f t="shared" si="6"/>
        <v/>
      </c>
    </row>
    <row r="57" spans="1:25">
      <c r="A57" s="57">
        <v>47</v>
      </c>
      <c r="B57" s="175" t="str">
        <f>IF('G2 MT Reading Scoresheet'!B57&lt;&gt;"",'G2 MT Reading Scoresheet'!B57,"")</f>
        <v/>
      </c>
      <c r="C57" s="167" t="str">
        <f>IF('G2 MT Reading Scoresheet'!C57&lt;&gt;"",'G2 MT Reading Scoresheet'!C57,"")</f>
        <v/>
      </c>
      <c r="D57" s="168" t="str">
        <f>IF('G2 MT Reading Scoresheet'!D57&lt;&gt;"",'G2 MT Reading Scoresheet'!D57,"")</f>
        <v/>
      </c>
      <c r="E57" s="169" t="str">
        <f>IF('G2 MT Reading Scoresheet'!E57&lt;&gt;"",'G2 MT Reading Scoresheet'!E57,"")</f>
        <v/>
      </c>
      <c r="F57" s="172"/>
      <c r="G57" s="164"/>
      <c r="H57" s="173"/>
      <c r="I57" s="193" t="str">
        <f t="shared" si="0"/>
        <v/>
      </c>
      <c r="J57" s="194" t="str">
        <f t="shared" si="1"/>
        <v/>
      </c>
      <c r="K57" s="197"/>
      <c r="L57" s="198"/>
      <c r="M57" s="166" t="str">
        <f t="shared" si="2"/>
        <v/>
      </c>
      <c r="N57" s="173"/>
      <c r="O57" s="173"/>
      <c r="P57" s="166" t="str">
        <f t="shared" si="3"/>
        <v/>
      </c>
      <c r="Q57" s="213" t="str">
        <f t="shared" si="4"/>
        <v/>
      </c>
      <c r="R57" s="173"/>
      <c r="S57" s="173"/>
      <c r="T57" s="217"/>
      <c r="U57" s="215" t="str">
        <f t="shared" si="5"/>
        <v/>
      </c>
      <c r="V57" s="218"/>
      <c r="Y57" s="219" t="str">
        <f t="shared" si="6"/>
        <v/>
      </c>
    </row>
    <row r="58" spans="1:25">
      <c r="A58" s="165">
        <v>48</v>
      </c>
      <c r="B58" s="175" t="str">
        <f>IF('G2 MT Reading Scoresheet'!B58&lt;&gt;"",'G2 MT Reading Scoresheet'!B58,"")</f>
        <v/>
      </c>
      <c r="C58" s="167" t="str">
        <f>IF('G2 MT Reading Scoresheet'!C58&lt;&gt;"",'G2 MT Reading Scoresheet'!C58,"")</f>
        <v/>
      </c>
      <c r="D58" s="168" t="str">
        <f>IF('G2 MT Reading Scoresheet'!D58&lt;&gt;"",'G2 MT Reading Scoresheet'!D58,"")</f>
        <v/>
      </c>
      <c r="E58" s="169" t="str">
        <f>IF('G2 MT Reading Scoresheet'!E58&lt;&gt;"",'G2 MT Reading Scoresheet'!E58,"")</f>
        <v/>
      </c>
      <c r="F58" s="170"/>
      <c r="G58" s="171"/>
      <c r="H58" s="174"/>
      <c r="I58" s="193" t="str">
        <f t="shared" si="0"/>
        <v/>
      </c>
      <c r="J58" s="194" t="str">
        <f t="shared" si="1"/>
        <v/>
      </c>
      <c r="K58" s="195"/>
      <c r="L58" s="196"/>
      <c r="M58" s="166" t="str">
        <f t="shared" si="2"/>
        <v/>
      </c>
      <c r="N58" s="174"/>
      <c r="O58" s="174"/>
      <c r="P58" s="166" t="str">
        <f t="shared" si="3"/>
        <v/>
      </c>
      <c r="Q58" s="213" t="str">
        <f t="shared" si="4"/>
        <v/>
      </c>
      <c r="R58" s="174"/>
      <c r="S58" s="174"/>
      <c r="T58" s="214"/>
      <c r="U58" s="215" t="str">
        <f t="shared" si="5"/>
        <v/>
      </c>
      <c r="V58" s="216"/>
      <c r="Y58" s="219" t="str">
        <f t="shared" si="6"/>
        <v/>
      </c>
    </row>
    <row r="59" spans="1:25">
      <c r="A59" s="57">
        <v>49</v>
      </c>
      <c r="B59" s="175" t="str">
        <f>IF('G2 MT Reading Scoresheet'!B59&lt;&gt;"",'G2 MT Reading Scoresheet'!B59,"")</f>
        <v/>
      </c>
      <c r="C59" s="167" t="str">
        <f>IF('G2 MT Reading Scoresheet'!C59&lt;&gt;"",'G2 MT Reading Scoresheet'!C59,"")</f>
        <v/>
      </c>
      <c r="D59" s="168" t="str">
        <f>IF('G2 MT Reading Scoresheet'!D59&lt;&gt;"",'G2 MT Reading Scoresheet'!D59,"")</f>
        <v/>
      </c>
      <c r="E59" s="169" t="str">
        <f>IF('G2 MT Reading Scoresheet'!E59&lt;&gt;"",'G2 MT Reading Scoresheet'!E59,"")</f>
        <v/>
      </c>
      <c r="F59" s="172"/>
      <c r="G59" s="164"/>
      <c r="H59" s="173"/>
      <c r="I59" s="193" t="str">
        <f t="shared" si="0"/>
        <v/>
      </c>
      <c r="J59" s="194" t="str">
        <f t="shared" si="1"/>
        <v/>
      </c>
      <c r="K59" s="197"/>
      <c r="L59" s="198"/>
      <c r="M59" s="166" t="str">
        <f t="shared" si="2"/>
        <v/>
      </c>
      <c r="N59" s="173"/>
      <c r="O59" s="173"/>
      <c r="P59" s="166" t="str">
        <f t="shared" si="3"/>
        <v/>
      </c>
      <c r="Q59" s="213" t="str">
        <f t="shared" si="4"/>
        <v/>
      </c>
      <c r="R59" s="173"/>
      <c r="S59" s="173"/>
      <c r="T59" s="217"/>
      <c r="U59" s="215" t="str">
        <f t="shared" si="5"/>
        <v/>
      </c>
      <c r="V59" s="218"/>
      <c r="Y59" s="219" t="str">
        <f t="shared" si="6"/>
        <v/>
      </c>
    </row>
    <row r="60" spans="1:25">
      <c r="A60" s="165">
        <v>50</v>
      </c>
      <c r="B60" s="175" t="str">
        <f>IF('G2 MT Reading Scoresheet'!B60&lt;&gt;"",'G2 MT Reading Scoresheet'!B60,"")</f>
        <v/>
      </c>
      <c r="C60" s="167" t="str">
        <f>IF('G2 MT Reading Scoresheet'!C60&lt;&gt;"",'G2 MT Reading Scoresheet'!C60,"")</f>
        <v/>
      </c>
      <c r="D60" s="168" t="str">
        <f>IF('G2 MT Reading Scoresheet'!D60&lt;&gt;"",'G2 MT Reading Scoresheet'!D60,"")</f>
        <v/>
      </c>
      <c r="E60" s="169" t="str">
        <f>IF('G2 MT Reading Scoresheet'!E60&lt;&gt;"",'G2 MT Reading Scoresheet'!E60,"")</f>
        <v/>
      </c>
      <c r="F60" s="170"/>
      <c r="G60" s="171"/>
      <c r="H60" s="174"/>
      <c r="I60" s="193" t="str">
        <f t="shared" si="0"/>
        <v/>
      </c>
      <c r="J60" s="194" t="str">
        <f t="shared" si="1"/>
        <v/>
      </c>
      <c r="K60" s="195"/>
      <c r="L60" s="196"/>
      <c r="M60" s="166" t="str">
        <f t="shared" si="2"/>
        <v/>
      </c>
      <c r="N60" s="174"/>
      <c r="O60" s="174"/>
      <c r="P60" s="166" t="str">
        <f t="shared" si="3"/>
        <v/>
      </c>
      <c r="Q60" s="213" t="str">
        <f t="shared" si="4"/>
        <v/>
      </c>
      <c r="R60" s="174"/>
      <c r="S60" s="174"/>
      <c r="T60" s="214"/>
      <c r="U60" s="215" t="str">
        <f t="shared" si="5"/>
        <v/>
      </c>
      <c r="V60" s="216"/>
      <c r="Y60" s="219" t="str">
        <f t="shared" si="6"/>
        <v/>
      </c>
    </row>
    <row r="61" spans="1:25">
      <c r="A61" s="57">
        <v>51</v>
      </c>
      <c r="B61" s="175" t="str">
        <f>IF('G2 MT Reading Scoresheet'!B61&lt;&gt;"",'G2 MT Reading Scoresheet'!B61,"")</f>
        <v/>
      </c>
      <c r="C61" s="167" t="str">
        <f>IF('G2 MT Reading Scoresheet'!C61&lt;&gt;"",'G2 MT Reading Scoresheet'!C61,"")</f>
        <v/>
      </c>
      <c r="D61" s="168" t="str">
        <f>IF('G2 MT Reading Scoresheet'!D61&lt;&gt;"",'G2 MT Reading Scoresheet'!D61,"")</f>
        <v/>
      </c>
      <c r="E61" s="169" t="str">
        <f>IF('G2 MT Reading Scoresheet'!E61&lt;&gt;"",'G2 MT Reading Scoresheet'!E61,"")</f>
        <v/>
      </c>
      <c r="F61" s="172"/>
      <c r="G61" s="164"/>
      <c r="H61" s="173"/>
      <c r="I61" s="193" t="str">
        <f t="shared" si="0"/>
        <v/>
      </c>
      <c r="J61" s="194" t="str">
        <f t="shared" si="1"/>
        <v/>
      </c>
      <c r="K61" s="197"/>
      <c r="L61" s="198"/>
      <c r="M61" s="166" t="str">
        <f t="shared" si="2"/>
        <v/>
      </c>
      <c r="N61" s="173"/>
      <c r="O61" s="173"/>
      <c r="P61" s="166" t="str">
        <f t="shared" si="3"/>
        <v/>
      </c>
      <c r="Q61" s="213" t="str">
        <f t="shared" si="4"/>
        <v/>
      </c>
      <c r="R61" s="173"/>
      <c r="S61" s="173"/>
      <c r="T61" s="217"/>
      <c r="U61" s="215" t="str">
        <f t="shared" si="5"/>
        <v/>
      </c>
      <c r="V61" s="218"/>
      <c r="Y61" s="219" t="str">
        <f t="shared" si="6"/>
        <v/>
      </c>
    </row>
    <row r="62" spans="1:25">
      <c r="A62" s="165">
        <v>52</v>
      </c>
      <c r="B62" s="175" t="str">
        <f>IF('G2 MT Reading Scoresheet'!B62&lt;&gt;"",'G2 MT Reading Scoresheet'!B62,"")</f>
        <v/>
      </c>
      <c r="C62" s="167" t="str">
        <f>IF('G2 MT Reading Scoresheet'!C62&lt;&gt;"",'G2 MT Reading Scoresheet'!C62,"")</f>
        <v/>
      </c>
      <c r="D62" s="168" t="str">
        <f>IF('G2 MT Reading Scoresheet'!D62&lt;&gt;"",'G2 MT Reading Scoresheet'!D62,"")</f>
        <v/>
      </c>
      <c r="E62" s="169" t="str">
        <f>IF('G2 MT Reading Scoresheet'!E62&lt;&gt;"",'G2 MT Reading Scoresheet'!E62,"")</f>
        <v/>
      </c>
      <c r="F62" s="170"/>
      <c r="G62" s="171"/>
      <c r="H62" s="174"/>
      <c r="I62" s="193" t="str">
        <f t="shared" si="0"/>
        <v/>
      </c>
      <c r="J62" s="194" t="str">
        <f t="shared" si="1"/>
        <v/>
      </c>
      <c r="K62" s="195"/>
      <c r="L62" s="196"/>
      <c r="M62" s="166" t="str">
        <f t="shared" si="2"/>
        <v/>
      </c>
      <c r="N62" s="174"/>
      <c r="O62" s="174"/>
      <c r="P62" s="166" t="str">
        <f t="shared" si="3"/>
        <v/>
      </c>
      <c r="Q62" s="213" t="str">
        <f t="shared" si="4"/>
        <v/>
      </c>
      <c r="R62" s="174"/>
      <c r="S62" s="174"/>
      <c r="T62" s="214"/>
      <c r="U62" s="215" t="str">
        <f t="shared" si="5"/>
        <v/>
      </c>
      <c r="V62" s="216"/>
      <c r="Y62" s="219" t="str">
        <f t="shared" si="6"/>
        <v/>
      </c>
    </row>
    <row r="63" spans="1:25">
      <c r="A63" s="57">
        <v>53</v>
      </c>
      <c r="B63" s="175" t="str">
        <f>IF('G2 MT Reading Scoresheet'!B63&lt;&gt;"",'G2 MT Reading Scoresheet'!B63,"")</f>
        <v/>
      </c>
      <c r="C63" s="167" t="str">
        <f>IF('G2 MT Reading Scoresheet'!C63&lt;&gt;"",'G2 MT Reading Scoresheet'!C63,"")</f>
        <v/>
      </c>
      <c r="D63" s="168" t="str">
        <f>IF('G2 MT Reading Scoresheet'!D63&lt;&gt;"",'G2 MT Reading Scoresheet'!D63,"")</f>
        <v/>
      </c>
      <c r="E63" s="169" t="str">
        <f>IF('G2 MT Reading Scoresheet'!E63&lt;&gt;"",'G2 MT Reading Scoresheet'!E63,"")</f>
        <v/>
      </c>
      <c r="F63" s="172"/>
      <c r="G63" s="164"/>
      <c r="H63" s="173"/>
      <c r="I63" s="193" t="str">
        <f t="shared" si="0"/>
        <v/>
      </c>
      <c r="J63" s="194" t="str">
        <f t="shared" si="1"/>
        <v/>
      </c>
      <c r="K63" s="197"/>
      <c r="L63" s="198"/>
      <c r="M63" s="166" t="str">
        <f t="shared" si="2"/>
        <v/>
      </c>
      <c r="N63" s="173"/>
      <c r="O63" s="173"/>
      <c r="P63" s="166" t="str">
        <f t="shared" si="3"/>
        <v/>
      </c>
      <c r="Q63" s="213" t="str">
        <f t="shared" si="4"/>
        <v/>
      </c>
      <c r="R63" s="173"/>
      <c r="S63" s="173"/>
      <c r="T63" s="217"/>
      <c r="U63" s="215" t="str">
        <f t="shared" si="5"/>
        <v/>
      </c>
      <c r="V63" s="218"/>
      <c r="Y63" s="219" t="str">
        <f t="shared" si="6"/>
        <v/>
      </c>
    </row>
    <row r="64" spans="1:25">
      <c r="A64" s="165">
        <v>54</v>
      </c>
      <c r="B64" s="175" t="str">
        <f>IF('G2 MT Reading Scoresheet'!B64&lt;&gt;"",'G2 MT Reading Scoresheet'!B64,"")</f>
        <v/>
      </c>
      <c r="C64" s="167" t="str">
        <f>IF('G2 MT Reading Scoresheet'!C64&lt;&gt;"",'G2 MT Reading Scoresheet'!C64,"")</f>
        <v/>
      </c>
      <c r="D64" s="168" t="str">
        <f>IF('G2 MT Reading Scoresheet'!D64&lt;&gt;"",'G2 MT Reading Scoresheet'!D64,"")</f>
        <v/>
      </c>
      <c r="E64" s="169" t="str">
        <f>IF('G2 MT Reading Scoresheet'!E64&lt;&gt;"",'G2 MT Reading Scoresheet'!E64,"")</f>
        <v/>
      </c>
      <c r="F64" s="170"/>
      <c r="G64" s="171"/>
      <c r="H64" s="174"/>
      <c r="I64" s="193" t="str">
        <f t="shared" si="0"/>
        <v/>
      </c>
      <c r="J64" s="194" t="str">
        <f t="shared" si="1"/>
        <v/>
      </c>
      <c r="K64" s="195"/>
      <c r="L64" s="196"/>
      <c r="M64" s="166" t="str">
        <f t="shared" si="2"/>
        <v/>
      </c>
      <c r="N64" s="174"/>
      <c r="O64" s="174"/>
      <c r="P64" s="166" t="str">
        <f t="shared" si="3"/>
        <v/>
      </c>
      <c r="Q64" s="213" t="str">
        <f t="shared" si="4"/>
        <v/>
      </c>
      <c r="R64" s="174"/>
      <c r="S64" s="174"/>
      <c r="T64" s="214"/>
      <c r="U64" s="215" t="str">
        <f t="shared" si="5"/>
        <v/>
      </c>
      <c r="V64" s="216"/>
      <c r="Y64" s="219" t="str">
        <f t="shared" si="6"/>
        <v/>
      </c>
    </row>
    <row r="65" spans="1:25">
      <c r="A65" s="57">
        <v>55</v>
      </c>
      <c r="B65" s="175" t="str">
        <f>IF('G2 MT Reading Scoresheet'!B65&lt;&gt;"",'G2 MT Reading Scoresheet'!B65,"")</f>
        <v/>
      </c>
      <c r="C65" s="167" t="str">
        <f>IF('G2 MT Reading Scoresheet'!C65&lt;&gt;"",'G2 MT Reading Scoresheet'!C65,"")</f>
        <v/>
      </c>
      <c r="D65" s="168" t="str">
        <f>IF('G2 MT Reading Scoresheet'!D65&lt;&gt;"",'G2 MT Reading Scoresheet'!D65,"")</f>
        <v/>
      </c>
      <c r="E65" s="169" t="str">
        <f>IF('G2 MT Reading Scoresheet'!E65&lt;&gt;"",'G2 MT Reading Scoresheet'!E65,"")</f>
        <v/>
      </c>
      <c r="F65" s="172"/>
      <c r="G65" s="164"/>
      <c r="H65" s="173"/>
      <c r="I65" s="193" t="str">
        <f t="shared" si="0"/>
        <v/>
      </c>
      <c r="J65" s="194" t="str">
        <f t="shared" si="1"/>
        <v/>
      </c>
      <c r="K65" s="197"/>
      <c r="L65" s="198"/>
      <c r="M65" s="166" t="str">
        <f t="shared" si="2"/>
        <v/>
      </c>
      <c r="N65" s="173"/>
      <c r="O65" s="173"/>
      <c r="P65" s="166" t="str">
        <f t="shared" si="3"/>
        <v/>
      </c>
      <c r="Q65" s="213" t="str">
        <f t="shared" si="4"/>
        <v/>
      </c>
      <c r="R65" s="173"/>
      <c r="S65" s="173"/>
      <c r="T65" s="217"/>
      <c r="U65" s="215" t="str">
        <f t="shared" si="5"/>
        <v/>
      </c>
      <c r="V65" s="218"/>
      <c r="Y65" s="219" t="str">
        <f t="shared" si="6"/>
        <v/>
      </c>
    </row>
    <row r="66" spans="1:25">
      <c r="A66" s="165">
        <v>56</v>
      </c>
      <c r="B66" s="175" t="str">
        <f>IF('G2 MT Reading Scoresheet'!B66&lt;&gt;"",'G2 MT Reading Scoresheet'!B66,"")</f>
        <v/>
      </c>
      <c r="C66" s="167" t="str">
        <f>IF('G2 MT Reading Scoresheet'!C66&lt;&gt;"",'G2 MT Reading Scoresheet'!C66,"")</f>
        <v/>
      </c>
      <c r="D66" s="168" t="str">
        <f>IF('G2 MT Reading Scoresheet'!D66&lt;&gt;"",'G2 MT Reading Scoresheet'!D66,"")</f>
        <v/>
      </c>
      <c r="E66" s="169" t="str">
        <f>IF('G2 MT Reading Scoresheet'!E66&lt;&gt;"",'G2 MT Reading Scoresheet'!E66,"")</f>
        <v/>
      </c>
      <c r="F66" s="170"/>
      <c r="G66" s="171"/>
      <c r="H66" s="174"/>
      <c r="I66" s="193" t="str">
        <f t="shared" si="0"/>
        <v/>
      </c>
      <c r="J66" s="194" t="str">
        <f t="shared" si="1"/>
        <v/>
      </c>
      <c r="K66" s="195"/>
      <c r="L66" s="196"/>
      <c r="M66" s="166" t="str">
        <f t="shared" si="2"/>
        <v/>
      </c>
      <c r="N66" s="174"/>
      <c r="O66" s="174"/>
      <c r="P66" s="166" t="str">
        <f t="shared" si="3"/>
        <v/>
      </c>
      <c r="Q66" s="213" t="str">
        <f t="shared" si="4"/>
        <v/>
      </c>
      <c r="R66" s="174"/>
      <c r="S66" s="174"/>
      <c r="T66" s="214"/>
      <c r="U66" s="215" t="str">
        <f t="shared" si="5"/>
        <v/>
      </c>
      <c r="V66" s="216"/>
      <c r="Y66" s="219" t="str">
        <f t="shared" si="6"/>
        <v/>
      </c>
    </row>
    <row r="67" spans="1:25">
      <c r="A67" s="57">
        <v>57</v>
      </c>
      <c r="B67" s="175" t="str">
        <f>IF('G2 MT Reading Scoresheet'!B67&lt;&gt;"",'G2 MT Reading Scoresheet'!B67,"")</f>
        <v/>
      </c>
      <c r="C67" s="167" t="str">
        <f>IF('G2 MT Reading Scoresheet'!C67&lt;&gt;"",'G2 MT Reading Scoresheet'!C67,"")</f>
        <v/>
      </c>
      <c r="D67" s="168" t="str">
        <f>IF('G2 MT Reading Scoresheet'!D67&lt;&gt;"",'G2 MT Reading Scoresheet'!D67,"")</f>
        <v/>
      </c>
      <c r="E67" s="169" t="str">
        <f>IF('G2 MT Reading Scoresheet'!E67&lt;&gt;"",'G2 MT Reading Scoresheet'!E67,"")</f>
        <v/>
      </c>
      <c r="F67" s="172"/>
      <c r="G67" s="164"/>
      <c r="H67" s="173"/>
      <c r="I67" s="193" t="str">
        <f t="shared" si="0"/>
        <v/>
      </c>
      <c r="J67" s="194" t="str">
        <f t="shared" si="1"/>
        <v/>
      </c>
      <c r="K67" s="197"/>
      <c r="L67" s="198"/>
      <c r="M67" s="166" t="str">
        <f t="shared" si="2"/>
        <v/>
      </c>
      <c r="N67" s="173"/>
      <c r="O67" s="173"/>
      <c r="P67" s="166" t="str">
        <f t="shared" si="3"/>
        <v/>
      </c>
      <c r="Q67" s="213" t="str">
        <f t="shared" si="4"/>
        <v/>
      </c>
      <c r="R67" s="173"/>
      <c r="S67" s="173"/>
      <c r="T67" s="217"/>
      <c r="U67" s="215" t="str">
        <f t="shared" si="5"/>
        <v/>
      </c>
      <c r="V67" s="218"/>
      <c r="Y67" s="219" t="str">
        <f t="shared" si="6"/>
        <v/>
      </c>
    </row>
    <row r="68" spans="1:25">
      <c r="A68" s="165">
        <v>58</v>
      </c>
      <c r="B68" s="175" t="str">
        <f>IF('G2 MT Reading Scoresheet'!B68&lt;&gt;"",'G2 MT Reading Scoresheet'!B68,"")</f>
        <v/>
      </c>
      <c r="C68" s="167" t="str">
        <f>IF('G2 MT Reading Scoresheet'!C68&lt;&gt;"",'G2 MT Reading Scoresheet'!C68,"")</f>
        <v/>
      </c>
      <c r="D68" s="168" t="str">
        <f>IF('G2 MT Reading Scoresheet'!D68&lt;&gt;"",'G2 MT Reading Scoresheet'!D68,"")</f>
        <v/>
      </c>
      <c r="E68" s="169" t="str">
        <f>IF('G2 MT Reading Scoresheet'!E68&lt;&gt;"",'G2 MT Reading Scoresheet'!E68,"")</f>
        <v/>
      </c>
      <c r="F68" s="170"/>
      <c r="G68" s="171"/>
      <c r="H68" s="174"/>
      <c r="I68" s="193" t="str">
        <f t="shared" si="0"/>
        <v/>
      </c>
      <c r="J68" s="194" t="str">
        <f t="shared" si="1"/>
        <v/>
      </c>
      <c r="K68" s="195"/>
      <c r="L68" s="196"/>
      <c r="M68" s="166" t="str">
        <f t="shared" si="2"/>
        <v/>
      </c>
      <c r="N68" s="174"/>
      <c r="O68" s="174"/>
      <c r="P68" s="166" t="str">
        <f t="shared" si="3"/>
        <v/>
      </c>
      <c r="Q68" s="213" t="str">
        <f t="shared" si="4"/>
        <v/>
      </c>
      <c r="R68" s="174"/>
      <c r="S68" s="174"/>
      <c r="T68" s="214"/>
      <c r="U68" s="215" t="str">
        <f t="shared" si="5"/>
        <v/>
      </c>
      <c r="V68" s="216"/>
      <c r="Y68" s="219" t="str">
        <f t="shared" si="6"/>
        <v/>
      </c>
    </row>
    <row r="69" spans="1:25">
      <c r="A69" s="57">
        <v>59</v>
      </c>
      <c r="B69" s="175" t="str">
        <f>IF('G2 MT Reading Scoresheet'!B69&lt;&gt;"",'G2 MT Reading Scoresheet'!B69,"")</f>
        <v/>
      </c>
      <c r="C69" s="167" t="str">
        <f>IF('G2 MT Reading Scoresheet'!C69&lt;&gt;"",'G2 MT Reading Scoresheet'!C69,"")</f>
        <v/>
      </c>
      <c r="D69" s="168" t="str">
        <f>IF('G2 MT Reading Scoresheet'!D69&lt;&gt;"",'G2 MT Reading Scoresheet'!D69,"")</f>
        <v/>
      </c>
      <c r="E69" s="169" t="str">
        <f>IF('G2 MT Reading Scoresheet'!E69&lt;&gt;"",'G2 MT Reading Scoresheet'!E69,"")</f>
        <v/>
      </c>
      <c r="F69" s="172"/>
      <c r="G69" s="164"/>
      <c r="H69" s="173"/>
      <c r="I69" s="193" t="str">
        <f t="shared" si="0"/>
        <v/>
      </c>
      <c r="J69" s="194" t="str">
        <f t="shared" si="1"/>
        <v/>
      </c>
      <c r="K69" s="197"/>
      <c r="L69" s="198"/>
      <c r="M69" s="166" t="str">
        <f t="shared" si="2"/>
        <v/>
      </c>
      <c r="N69" s="173"/>
      <c r="O69" s="173"/>
      <c r="P69" s="166" t="str">
        <f t="shared" si="3"/>
        <v/>
      </c>
      <c r="Q69" s="213" t="str">
        <f t="shared" si="4"/>
        <v/>
      </c>
      <c r="R69" s="173"/>
      <c r="S69" s="173"/>
      <c r="T69" s="217"/>
      <c r="U69" s="215" t="str">
        <f t="shared" si="5"/>
        <v/>
      </c>
      <c r="V69" s="218"/>
      <c r="Y69" s="219" t="str">
        <f t="shared" si="6"/>
        <v/>
      </c>
    </row>
    <row r="70" spans="1:25">
      <c r="A70" s="57">
        <f>A69+1</f>
        <v>60</v>
      </c>
      <c r="B70" s="175" t="str">
        <f>IF('G2 MT Reading Scoresheet'!B70&lt;&gt;"",'G2 MT Reading Scoresheet'!B70,"")</f>
        <v/>
      </c>
      <c r="C70" s="167" t="str">
        <f>IF('G2 MT Reading Scoresheet'!C70&lt;&gt;"",'G2 MT Reading Scoresheet'!C70,"")</f>
        <v/>
      </c>
      <c r="D70" s="168" t="str">
        <f>IF('G2 MT Reading Scoresheet'!D70&lt;&gt;"",'G2 MT Reading Scoresheet'!D70,"")</f>
        <v/>
      </c>
      <c r="E70" s="169" t="str">
        <f>IF('G2 MT Reading Scoresheet'!E70&lt;&gt;"",'G2 MT Reading Scoresheet'!E70,"")</f>
        <v/>
      </c>
      <c r="F70" s="172"/>
      <c r="G70" s="171"/>
      <c r="H70" s="174"/>
      <c r="I70" s="193" t="str">
        <f t="shared" si="0"/>
        <v/>
      </c>
      <c r="J70" s="194" t="str">
        <f t="shared" si="1"/>
        <v/>
      </c>
      <c r="K70" s="195"/>
      <c r="L70" s="196"/>
      <c r="M70" s="166" t="str">
        <f t="shared" si="2"/>
        <v/>
      </c>
      <c r="N70" s="174"/>
      <c r="O70" s="174"/>
      <c r="P70" s="166" t="str">
        <f t="shared" si="3"/>
        <v/>
      </c>
      <c r="Q70" s="213" t="str">
        <f t="shared" si="4"/>
        <v/>
      </c>
      <c r="R70" s="174"/>
      <c r="S70" s="174"/>
      <c r="T70" s="214"/>
      <c r="U70" s="215" t="str">
        <f t="shared" si="5"/>
        <v/>
      </c>
      <c r="V70" s="216"/>
      <c r="Y70" s="219" t="str">
        <f t="shared" si="6"/>
        <v/>
      </c>
    </row>
    <row r="71" spans="1:25">
      <c r="A71" s="165">
        <f t="shared" ref="A71:A109" si="7">A70+1</f>
        <v>61</v>
      </c>
      <c r="B71" s="175" t="str">
        <f>IF('G2 MT Reading Scoresheet'!B71&lt;&gt;"",'G2 MT Reading Scoresheet'!B71,"")</f>
        <v/>
      </c>
      <c r="C71" s="167" t="str">
        <f>IF('G2 MT Reading Scoresheet'!C71&lt;&gt;"",'G2 MT Reading Scoresheet'!C71,"")</f>
        <v/>
      </c>
      <c r="D71" s="168" t="str">
        <f>IF('G2 MT Reading Scoresheet'!D71&lt;&gt;"",'G2 MT Reading Scoresheet'!D71,"")</f>
        <v/>
      </c>
      <c r="E71" s="169" t="str">
        <f>IF('G2 MT Reading Scoresheet'!E71&lt;&gt;"",'G2 MT Reading Scoresheet'!E71,"")</f>
        <v/>
      </c>
      <c r="F71" s="170"/>
      <c r="G71" s="164"/>
      <c r="H71" s="173"/>
      <c r="I71" s="193" t="str">
        <f t="shared" si="0"/>
        <v/>
      </c>
      <c r="J71" s="194" t="str">
        <f t="shared" si="1"/>
        <v/>
      </c>
      <c r="K71" s="197"/>
      <c r="L71" s="198"/>
      <c r="M71" s="166" t="str">
        <f t="shared" si="2"/>
        <v/>
      </c>
      <c r="N71" s="173"/>
      <c r="O71" s="173"/>
      <c r="P71" s="166" t="str">
        <f t="shared" si="3"/>
        <v/>
      </c>
      <c r="Q71" s="213" t="str">
        <f t="shared" si="4"/>
        <v/>
      </c>
      <c r="R71" s="173"/>
      <c r="S71" s="173"/>
      <c r="T71" s="217"/>
      <c r="U71" s="215" t="str">
        <f t="shared" si="5"/>
        <v/>
      </c>
      <c r="V71" s="218"/>
      <c r="Y71" s="219" t="str">
        <f t="shared" si="6"/>
        <v/>
      </c>
    </row>
    <row r="72" spans="1:25">
      <c r="A72" s="57">
        <f t="shared" si="7"/>
        <v>62</v>
      </c>
      <c r="B72" s="175" t="str">
        <f>IF('G2 MT Reading Scoresheet'!B72&lt;&gt;"",'G2 MT Reading Scoresheet'!B72,"")</f>
        <v/>
      </c>
      <c r="C72" s="167" t="str">
        <f>IF('G2 MT Reading Scoresheet'!C72&lt;&gt;"",'G2 MT Reading Scoresheet'!C72,"")</f>
        <v/>
      </c>
      <c r="D72" s="168" t="str">
        <f>IF('G2 MT Reading Scoresheet'!D72&lt;&gt;"",'G2 MT Reading Scoresheet'!D72,"")</f>
        <v/>
      </c>
      <c r="E72" s="169" t="str">
        <f>IF('G2 MT Reading Scoresheet'!E72&lt;&gt;"",'G2 MT Reading Scoresheet'!E72,"")</f>
        <v/>
      </c>
      <c r="F72" s="172"/>
      <c r="G72" s="171"/>
      <c r="H72" s="174"/>
      <c r="I72" s="193" t="str">
        <f t="shared" si="0"/>
        <v/>
      </c>
      <c r="J72" s="194" t="str">
        <f t="shared" si="1"/>
        <v/>
      </c>
      <c r="K72" s="195"/>
      <c r="L72" s="196"/>
      <c r="M72" s="166" t="str">
        <f t="shared" si="2"/>
        <v/>
      </c>
      <c r="N72" s="174"/>
      <c r="O72" s="174"/>
      <c r="P72" s="166" t="str">
        <f t="shared" si="3"/>
        <v/>
      </c>
      <c r="Q72" s="213" t="str">
        <f t="shared" si="4"/>
        <v/>
      </c>
      <c r="R72" s="174"/>
      <c r="S72" s="174"/>
      <c r="T72" s="214"/>
      <c r="U72" s="215" t="str">
        <f t="shared" si="5"/>
        <v/>
      </c>
      <c r="V72" s="216"/>
      <c r="Y72" s="219" t="str">
        <f t="shared" si="6"/>
        <v/>
      </c>
    </row>
    <row r="73" spans="1:25">
      <c r="A73" s="165">
        <f t="shared" si="7"/>
        <v>63</v>
      </c>
      <c r="B73" s="175" t="str">
        <f>IF('G2 MT Reading Scoresheet'!B73&lt;&gt;"",'G2 MT Reading Scoresheet'!B73,"")</f>
        <v/>
      </c>
      <c r="C73" s="167" t="str">
        <f>IF('G2 MT Reading Scoresheet'!C73&lt;&gt;"",'G2 MT Reading Scoresheet'!C73,"")</f>
        <v/>
      </c>
      <c r="D73" s="168" t="str">
        <f>IF('G2 MT Reading Scoresheet'!D73&lt;&gt;"",'G2 MT Reading Scoresheet'!D73,"")</f>
        <v/>
      </c>
      <c r="E73" s="169" t="str">
        <f>IF('G2 MT Reading Scoresheet'!E73&lt;&gt;"",'G2 MT Reading Scoresheet'!E73,"")</f>
        <v/>
      </c>
      <c r="F73" s="170"/>
      <c r="G73" s="164"/>
      <c r="H73" s="173"/>
      <c r="I73" s="193" t="str">
        <f t="shared" si="0"/>
        <v/>
      </c>
      <c r="J73" s="194" t="str">
        <f t="shared" si="1"/>
        <v/>
      </c>
      <c r="K73" s="197"/>
      <c r="L73" s="198"/>
      <c r="M73" s="166" t="str">
        <f t="shared" si="2"/>
        <v/>
      </c>
      <c r="N73" s="173"/>
      <c r="O73" s="173"/>
      <c r="P73" s="166" t="str">
        <f t="shared" si="3"/>
        <v/>
      </c>
      <c r="Q73" s="213" t="str">
        <f t="shared" si="4"/>
        <v/>
      </c>
      <c r="R73" s="173"/>
      <c r="S73" s="173"/>
      <c r="T73" s="217"/>
      <c r="U73" s="215" t="str">
        <f t="shared" si="5"/>
        <v/>
      </c>
      <c r="V73" s="218"/>
      <c r="Y73" s="219" t="str">
        <f t="shared" si="6"/>
        <v/>
      </c>
    </row>
    <row r="74" spans="1:25">
      <c r="A74" s="57">
        <f t="shared" si="7"/>
        <v>64</v>
      </c>
      <c r="B74" s="175" t="str">
        <f>IF('G2 MT Reading Scoresheet'!B74&lt;&gt;"",'G2 MT Reading Scoresheet'!B74,"")</f>
        <v/>
      </c>
      <c r="C74" s="167" t="str">
        <f>IF('G2 MT Reading Scoresheet'!C74&lt;&gt;"",'G2 MT Reading Scoresheet'!C74,"")</f>
        <v/>
      </c>
      <c r="D74" s="168" t="str">
        <f>IF('G2 MT Reading Scoresheet'!D74&lt;&gt;"",'G2 MT Reading Scoresheet'!D74,"")</f>
        <v/>
      </c>
      <c r="E74" s="169" t="str">
        <f>IF('G2 MT Reading Scoresheet'!E74&lt;&gt;"",'G2 MT Reading Scoresheet'!E74,"")</f>
        <v/>
      </c>
      <c r="F74" s="172"/>
      <c r="G74" s="171"/>
      <c r="H74" s="174"/>
      <c r="I74" s="193" t="str">
        <f t="shared" si="0"/>
        <v/>
      </c>
      <c r="J74" s="194" t="str">
        <f t="shared" si="1"/>
        <v/>
      </c>
      <c r="K74" s="195"/>
      <c r="L74" s="196"/>
      <c r="M74" s="166" t="str">
        <f t="shared" si="2"/>
        <v/>
      </c>
      <c r="N74" s="174"/>
      <c r="O74" s="174"/>
      <c r="P74" s="166" t="str">
        <f t="shared" si="3"/>
        <v/>
      </c>
      <c r="Q74" s="213" t="str">
        <f t="shared" si="4"/>
        <v/>
      </c>
      <c r="R74" s="174"/>
      <c r="S74" s="174"/>
      <c r="T74" s="214"/>
      <c r="U74" s="215" t="str">
        <f t="shared" si="5"/>
        <v/>
      </c>
      <c r="V74" s="216"/>
      <c r="Y74" s="219" t="str">
        <f t="shared" si="6"/>
        <v/>
      </c>
    </row>
    <row r="75" spans="1:25">
      <c r="A75" s="165">
        <f t="shared" si="7"/>
        <v>65</v>
      </c>
      <c r="B75" s="175" t="str">
        <f>IF('G2 MT Reading Scoresheet'!B75&lt;&gt;"",'G2 MT Reading Scoresheet'!B75,"")</f>
        <v/>
      </c>
      <c r="C75" s="167" t="str">
        <f>IF('G2 MT Reading Scoresheet'!C75&lt;&gt;"",'G2 MT Reading Scoresheet'!C75,"")</f>
        <v/>
      </c>
      <c r="D75" s="168" t="str">
        <f>IF('G2 MT Reading Scoresheet'!D75&lt;&gt;"",'G2 MT Reading Scoresheet'!D75,"")</f>
        <v/>
      </c>
      <c r="E75" s="169" t="str">
        <f>IF('G2 MT Reading Scoresheet'!E75&lt;&gt;"",'G2 MT Reading Scoresheet'!E75,"")</f>
        <v/>
      </c>
      <c r="F75" s="170"/>
      <c r="G75" s="164"/>
      <c r="H75" s="173"/>
      <c r="I75" s="193" t="str">
        <f t="shared" si="0"/>
        <v/>
      </c>
      <c r="J75" s="194" t="str">
        <f t="shared" si="1"/>
        <v/>
      </c>
      <c r="K75" s="197"/>
      <c r="L75" s="198"/>
      <c r="M75" s="166" t="str">
        <f t="shared" si="2"/>
        <v/>
      </c>
      <c r="N75" s="173"/>
      <c r="O75" s="173"/>
      <c r="P75" s="166" t="str">
        <f t="shared" si="3"/>
        <v/>
      </c>
      <c r="Q75" s="213" t="str">
        <f t="shared" si="4"/>
        <v/>
      </c>
      <c r="R75" s="173"/>
      <c r="S75" s="173"/>
      <c r="T75" s="217"/>
      <c r="U75" s="215" t="str">
        <f t="shared" si="5"/>
        <v/>
      </c>
      <c r="V75" s="218"/>
      <c r="Y75" s="219" t="str">
        <f t="shared" si="6"/>
        <v/>
      </c>
    </row>
    <row r="76" spans="1:25">
      <c r="A76" s="57">
        <f t="shared" si="7"/>
        <v>66</v>
      </c>
      <c r="B76" s="175" t="str">
        <f>IF('G2 MT Reading Scoresheet'!B76&lt;&gt;"",'G2 MT Reading Scoresheet'!B76,"")</f>
        <v/>
      </c>
      <c r="C76" s="167" t="str">
        <f>IF('G2 MT Reading Scoresheet'!C76&lt;&gt;"",'G2 MT Reading Scoresheet'!C76,"")</f>
        <v/>
      </c>
      <c r="D76" s="168" t="str">
        <f>IF('G2 MT Reading Scoresheet'!D76&lt;&gt;"",'G2 MT Reading Scoresheet'!D76,"")</f>
        <v/>
      </c>
      <c r="E76" s="169" t="str">
        <f>IF('G2 MT Reading Scoresheet'!E76&lt;&gt;"",'G2 MT Reading Scoresheet'!E76,"")</f>
        <v/>
      </c>
      <c r="F76" s="172"/>
      <c r="G76" s="171"/>
      <c r="H76" s="174"/>
      <c r="I76" s="193" t="str">
        <f t="shared" ref="I76:I110" si="8">IF(AND(F76="",G76=""),"",IF(F76&lt;7,F76+G76,F76+10+H76))</f>
        <v/>
      </c>
      <c r="J76" s="194" t="str">
        <f t="shared" ref="J76:J110" si="9">IF(I76="","",IF(F76&lt;7,IF(I76&lt;=10,"Full Refresher","Moderate Refresher"),IF(I76&lt;27,"Light Refresher","Grade Ready")))</f>
        <v/>
      </c>
      <c r="K76" s="195"/>
      <c r="L76" s="196"/>
      <c r="M76" s="166" t="str">
        <f t="shared" ref="M76:M110" si="10">IF(OR(K76=1,K76=2),IF(K76=1,M$7-L76,$P$7-L76),"")</f>
        <v/>
      </c>
      <c r="N76" s="174"/>
      <c r="O76" s="174"/>
      <c r="P76" s="166" t="str">
        <f t="shared" ref="P76:P110" si="11">IF(AND(K76&gt;0,M76&gt;0,OR(N76&gt;0,O76&gt;0)),(M76/((N76*60)+O76))*60,"")</f>
        <v/>
      </c>
      <c r="Q76" s="213" t="str">
        <f t="shared" ref="Q76:Q110" si="12">IFERROR(IF(OR(K76=1,K76=2),IF(K76=1,M76/$M$7,M76/$P$7),""),"")</f>
        <v/>
      </c>
      <c r="R76" s="174"/>
      <c r="S76" s="174"/>
      <c r="T76" s="214"/>
      <c r="U76" s="215" t="str">
        <f t="shared" ref="U76:U110" si="13">IF(J76&lt;&gt;"",IF(J76="Full Refresher","Low Emerging Reader",IF(AND(K76&gt;0,Q76&lt;&gt;""),IF(OR(Q76&lt;=25%,AND(Q76&gt;25%,Q76&lt;=50%,R76=0)),"High Emerging Reader",IF(OR(AND(Q76&gt;25%,Q76&lt;51%,R76&gt;=1),AND(Q76&gt;50%,Q76&lt;76%,R76&lt;=2)),"Developing Reader",IF(OR(AND(Q76&gt;=51%,Q76&lt;76%,R76&gt;=3),AND(Q76&gt;75%,R76&lt;=4)),"Transitioning Reader",IF(AND(Q76&gt;75%,R76&gt;=5),"Reading At Grade Level","")))),"")),"")</f>
        <v/>
      </c>
      <c r="V76" s="216"/>
      <c r="Y76" s="219" t="str">
        <f t="shared" ref="Y76:Y110" si="14">IF(C76&lt;&gt;"",R76/6,"")</f>
        <v/>
      </c>
    </row>
    <row r="77" spans="1:25">
      <c r="A77" s="165">
        <f t="shared" si="7"/>
        <v>67</v>
      </c>
      <c r="B77" s="175" t="str">
        <f>IF('G2 MT Reading Scoresheet'!B77&lt;&gt;"",'G2 MT Reading Scoresheet'!B77,"")</f>
        <v/>
      </c>
      <c r="C77" s="167" t="str">
        <f>IF('G2 MT Reading Scoresheet'!C77&lt;&gt;"",'G2 MT Reading Scoresheet'!C77,"")</f>
        <v/>
      </c>
      <c r="D77" s="168" t="str">
        <f>IF('G2 MT Reading Scoresheet'!D77&lt;&gt;"",'G2 MT Reading Scoresheet'!D77,"")</f>
        <v/>
      </c>
      <c r="E77" s="169" t="str">
        <f>IF('G2 MT Reading Scoresheet'!E77&lt;&gt;"",'G2 MT Reading Scoresheet'!E77,"")</f>
        <v/>
      </c>
      <c r="F77" s="170"/>
      <c r="G77" s="164"/>
      <c r="H77" s="173"/>
      <c r="I77" s="193" t="str">
        <f t="shared" si="8"/>
        <v/>
      </c>
      <c r="J77" s="194" t="str">
        <f t="shared" si="9"/>
        <v/>
      </c>
      <c r="K77" s="197"/>
      <c r="L77" s="198"/>
      <c r="M77" s="166" t="str">
        <f t="shared" si="10"/>
        <v/>
      </c>
      <c r="N77" s="173"/>
      <c r="O77" s="173"/>
      <c r="P77" s="166" t="str">
        <f t="shared" si="11"/>
        <v/>
      </c>
      <c r="Q77" s="213" t="str">
        <f t="shared" si="12"/>
        <v/>
      </c>
      <c r="R77" s="173"/>
      <c r="S77" s="173"/>
      <c r="T77" s="217"/>
      <c r="U77" s="215" t="str">
        <f t="shared" si="13"/>
        <v/>
      </c>
      <c r="V77" s="218"/>
      <c r="Y77" s="219" t="str">
        <f t="shared" si="14"/>
        <v/>
      </c>
    </row>
    <row r="78" spans="1:25">
      <c r="A78" s="57">
        <f t="shared" si="7"/>
        <v>68</v>
      </c>
      <c r="B78" s="175" t="str">
        <f>IF('G2 MT Reading Scoresheet'!B78&lt;&gt;"",'G2 MT Reading Scoresheet'!B78,"")</f>
        <v/>
      </c>
      <c r="C78" s="167" t="str">
        <f>IF('G2 MT Reading Scoresheet'!C78&lt;&gt;"",'G2 MT Reading Scoresheet'!C78,"")</f>
        <v/>
      </c>
      <c r="D78" s="168" t="str">
        <f>IF('G2 MT Reading Scoresheet'!D78&lt;&gt;"",'G2 MT Reading Scoresheet'!D78,"")</f>
        <v/>
      </c>
      <c r="E78" s="169" t="str">
        <f>IF('G2 MT Reading Scoresheet'!E78&lt;&gt;"",'G2 MT Reading Scoresheet'!E78,"")</f>
        <v/>
      </c>
      <c r="F78" s="172"/>
      <c r="G78" s="171"/>
      <c r="H78" s="174"/>
      <c r="I78" s="193" t="str">
        <f t="shared" si="8"/>
        <v/>
      </c>
      <c r="J78" s="194" t="str">
        <f t="shared" si="9"/>
        <v/>
      </c>
      <c r="K78" s="195"/>
      <c r="L78" s="196"/>
      <c r="M78" s="166" t="str">
        <f t="shared" si="10"/>
        <v/>
      </c>
      <c r="N78" s="174"/>
      <c r="O78" s="174"/>
      <c r="P78" s="166" t="str">
        <f t="shared" si="11"/>
        <v/>
      </c>
      <c r="Q78" s="213" t="str">
        <f t="shared" si="12"/>
        <v/>
      </c>
      <c r="R78" s="174"/>
      <c r="S78" s="174"/>
      <c r="T78" s="214"/>
      <c r="U78" s="215" t="str">
        <f t="shared" si="13"/>
        <v/>
      </c>
      <c r="V78" s="216"/>
      <c r="Y78" s="219" t="str">
        <f t="shared" si="14"/>
        <v/>
      </c>
    </row>
    <row r="79" spans="1:25">
      <c r="A79" s="165">
        <f t="shared" si="7"/>
        <v>69</v>
      </c>
      <c r="B79" s="175" t="str">
        <f>IF('G2 MT Reading Scoresheet'!B79&lt;&gt;"",'G2 MT Reading Scoresheet'!B79,"")</f>
        <v/>
      </c>
      <c r="C79" s="167" t="str">
        <f>IF('G2 MT Reading Scoresheet'!C79&lt;&gt;"",'G2 MT Reading Scoresheet'!C79,"")</f>
        <v/>
      </c>
      <c r="D79" s="168" t="str">
        <f>IF('G2 MT Reading Scoresheet'!D79&lt;&gt;"",'G2 MT Reading Scoresheet'!D79,"")</f>
        <v/>
      </c>
      <c r="E79" s="169" t="str">
        <f>IF('G2 MT Reading Scoresheet'!E79&lt;&gt;"",'G2 MT Reading Scoresheet'!E79,"")</f>
        <v/>
      </c>
      <c r="F79" s="170"/>
      <c r="G79" s="164"/>
      <c r="H79" s="173"/>
      <c r="I79" s="193" t="str">
        <f t="shared" si="8"/>
        <v/>
      </c>
      <c r="J79" s="194" t="str">
        <f t="shared" si="9"/>
        <v/>
      </c>
      <c r="K79" s="197"/>
      <c r="L79" s="198"/>
      <c r="M79" s="166" t="str">
        <f t="shared" si="10"/>
        <v/>
      </c>
      <c r="N79" s="173"/>
      <c r="O79" s="173"/>
      <c r="P79" s="166" t="str">
        <f t="shared" si="11"/>
        <v/>
      </c>
      <c r="Q79" s="213" t="str">
        <f t="shared" si="12"/>
        <v/>
      </c>
      <c r="R79" s="173"/>
      <c r="S79" s="173"/>
      <c r="T79" s="217"/>
      <c r="U79" s="215" t="str">
        <f t="shared" si="13"/>
        <v/>
      </c>
      <c r="V79" s="218"/>
      <c r="Y79" s="219" t="str">
        <f t="shared" si="14"/>
        <v/>
      </c>
    </row>
    <row r="80" spans="1:25">
      <c r="A80" s="57">
        <f t="shared" si="7"/>
        <v>70</v>
      </c>
      <c r="B80" s="175" t="str">
        <f>IF('G2 MT Reading Scoresheet'!B80&lt;&gt;"",'G2 MT Reading Scoresheet'!B80,"")</f>
        <v/>
      </c>
      <c r="C80" s="167" t="str">
        <f>IF('G2 MT Reading Scoresheet'!C80&lt;&gt;"",'G2 MT Reading Scoresheet'!C80,"")</f>
        <v/>
      </c>
      <c r="D80" s="168" t="str">
        <f>IF('G2 MT Reading Scoresheet'!D80&lt;&gt;"",'G2 MT Reading Scoresheet'!D80,"")</f>
        <v/>
      </c>
      <c r="E80" s="169" t="str">
        <f>IF('G2 MT Reading Scoresheet'!E80&lt;&gt;"",'G2 MT Reading Scoresheet'!E80,"")</f>
        <v/>
      </c>
      <c r="F80" s="172"/>
      <c r="G80" s="171"/>
      <c r="H80" s="174"/>
      <c r="I80" s="193" t="str">
        <f t="shared" si="8"/>
        <v/>
      </c>
      <c r="J80" s="194" t="str">
        <f t="shared" si="9"/>
        <v/>
      </c>
      <c r="K80" s="195"/>
      <c r="L80" s="196"/>
      <c r="M80" s="166" t="str">
        <f t="shared" si="10"/>
        <v/>
      </c>
      <c r="N80" s="174"/>
      <c r="O80" s="174"/>
      <c r="P80" s="166" t="str">
        <f t="shared" si="11"/>
        <v/>
      </c>
      <c r="Q80" s="213" t="str">
        <f t="shared" si="12"/>
        <v/>
      </c>
      <c r="R80" s="174"/>
      <c r="S80" s="174"/>
      <c r="T80" s="214"/>
      <c r="U80" s="215" t="str">
        <f t="shared" si="13"/>
        <v/>
      </c>
      <c r="V80" s="216"/>
      <c r="Y80" s="219" t="str">
        <f t="shared" si="14"/>
        <v/>
      </c>
    </row>
    <row r="81" spans="1:25">
      <c r="A81" s="165">
        <f t="shared" si="7"/>
        <v>71</v>
      </c>
      <c r="B81" s="175" t="str">
        <f>IF('G2 MT Reading Scoresheet'!B81&lt;&gt;"",'G2 MT Reading Scoresheet'!B81,"")</f>
        <v/>
      </c>
      <c r="C81" s="167" t="str">
        <f>IF('G2 MT Reading Scoresheet'!C81&lt;&gt;"",'G2 MT Reading Scoresheet'!C81,"")</f>
        <v/>
      </c>
      <c r="D81" s="168" t="str">
        <f>IF('G2 MT Reading Scoresheet'!D81&lt;&gt;"",'G2 MT Reading Scoresheet'!D81,"")</f>
        <v/>
      </c>
      <c r="E81" s="169" t="str">
        <f>IF('G2 MT Reading Scoresheet'!E81&lt;&gt;"",'G2 MT Reading Scoresheet'!E81,"")</f>
        <v/>
      </c>
      <c r="F81" s="170"/>
      <c r="G81" s="164"/>
      <c r="H81" s="173"/>
      <c r="I81" s="193" t="str">
        <f t="shared" si="8"/>
        <v/>
      </c>
      <c r="J81" s="194" t="str">
        <f t="shared" si="9"/>
        <v/>
      </c>
      <c r="K81" s="197"/>
      <c r="L81" s="198"/>
      <c r="M81" s="166" t="str">
        <f t="shared" si="10"/>
        <v/>
      </c>
      <c r="N81" s="173"/>
      <c r="O81" s="173"/>
      <c r="P81" s="166" t="str">
        <f t="shared" si="11"/>
        <v/>
      </c>
      <c r="Q81" s="213" t="str">
        <f t="shared" si="12"/>
        <v/>
      </c>
      <c r="R81" s="173"/>
      <c r="S81" s="173"/>
      <c r="T81" s="217"/>
      <c r="U81" s="215" t="str">
        <f t="shared" si="13"/>
        <v/>
      </c>
      <c r="V81" s="218"/>
      <c r="Y81" s="219" t="str">
        <f t="shared" si="14"/>
        <v/>
      </c>
    </row>
    <row r="82" spans="1:25">
      <c r="A82" s="57">
        <f t="shared" si="7"/>
        <v>72</v>
      </c>
      <c r="B82" s="175" t="str">
        <f>IF('G2 MT Reading Scoresheet'!B82&lt;&gt;"",'G2 MT Reading Scoresheet'!B82,"")</f>
        <v/>
      </c>
      <c r="C82" s="167" t="str">
        <f>IF('G2 MT Reading Scoresheet'!C82&lt;&gt;"",'G2 MT Reading Scoresheet'!C82,"")</f>
        <v/>
      </c>
      <c r="D82" s="168" t="str">
        <f>IF('G2 MT Reading Scoresheet'!D82&lt;&gt;"",'G2 MT Reading Scoresheet'!D82,"")</f>
        <v/>
      </c>
      <c r="E82" s="169" t="str">
        <f>IF('G2 MT Reading Scoresheet'!E82&lt;&gt;"",'G2 MT Reading Scoresheet'!E82,"")</f>
        <v/>
      </c>
      <c r="F82" s="172"/>
      <c r="G82" s="171"/>
      <c r="H82" s="174"/>
      <c r="I82" s="193" t="str">
        <f t="shared" si="8"/>
        <v/>
      </c>
      <c r="J82" s="194" t="str">
        <f t="shared" si="9"/>
        <v/>
      </c>
      <c r="K82" s="195"/>
      <c r="L82" s="196"/>
      <c r="M82" s="166" t="str">
        <f t="shared" si="10"/>
        <v/>
      </c>
      <c r="N82" s="174"/>
      <c r="O82" s="174"/>
      <c r="P82" s="166" t="str">
        <f t="shared" si="11"/>
        <v/>
      </c>
      <c r="Q82" s="213" t="str">
        <f t="shared" si="12"/>
        <v/>
      </c>
      <c r="R82" s="174"/>
      <c r="S82" s="174"/>
      <c r="T82" s="214"/>
      <c r="U82" s="215" t="str">
        <f t="shared" si="13"/>
        <v/>
      </c>
      <c r="V82" s="216"/>
      <c r="Y82" s="219" t="str">
        <f t="shared" si="14"/>
        <v/>
      </c>
    </row>
    <row r="83" spans="1:25">
      <c r="A83" s="165">
        <f t="shared" si="7"/>
        <v>73</v>
      </c>
      <c r="B83" s="175" t="str">
        <f>IF('G2 MT Reading Scoresheet'!B83&lt;&gt;"",'G2 MT Reading Scoresheet'!B83,"")</f>
        <v/>
      </c>
      <c r="C83" s="167" t="str">
        <f>IF('G2 MT Reading Scoresheet'!C83&lt;&gt;"",'G2 MT Reading Scoresheet'!C83,"")</f>
        <v/>
      </c>
      <c r="D83" s="168" t="str">
        <f>IF('G2 MT Reading Scoresheet'!D83&lt;&gt;"",'G2 MT Reading Scoresheet'!D83,"")</f>
        <v/>
      </c>
      <c r="E83" s="169" t="str">
        <f>IF('G2 MT Reading Scoresheet'!E83&lt;&gt;"",'G2 MT Reading Scoresheet'!E83,"")</f>
        <v/>
      </c>
      <c r="F83" s="170"/>
      <c r="G83" s="164"/>
      <c r="H83" s="173"/>
      <c r="I83" s="193" t="str">
        <f t="shared" si="8"/>
        <v/>
      </c>
      <c r="J83" s="194" t="str">
        <f t="shared" si="9"/>
        <v/>
      </c>
      <c r="K83" s="197"/>
      <c r="L83" s="198"/>
      <c r="M83" s="166" t="str">
        <f t="shared" si="10"/>
        <v/>
      </c>
      <c r="N83" s="173"/>
      <c r="O83" s="173"/>
      <c r="P83" s="166" t="str">
        <f t="shared" si="11"/>
        <v/>
      </c>
      <c r="Q83" s="213" t="str">
        <f t="shared" si="12"/>
        <v/>
      </c>
      <c r="R83" s="173"/>
      <c r="S83" s="173"/>
      <c r="T83" s="217"/>
      <c r="U83" s="215" t="str">
        <f t="shared" si="13"/>
        <v/>
      </c>
      <c r="V83" s="218"/>
      <c r="Y83" s="219" t="str">
        <f t="shared" si="14"/>
        <v/>
      </c>
    </row>
    <row r="84" spans="1:25">
      <c r="A84" s="57">
        <f t="shared" si="7"/>
        <v>74</v>
      </c>
      <c r="B84" s="175" t="str">
        <f>IF('G2 MT Reading Scoresheet'!B84&lt;&gt;"",'G2 MT Reading Scoresheet'!B84,"")</f>
        <v/>
      </c>
      <c r="C84" s="167" t="str">
        <f>IF('G2 MT Reading Scoresheet'!C84&lt;&gt;"",'G2 MT Reading Scoresheet'!C84,"")</f>
        <v/>
      </c>
      <c r="D84" s="168" t="str">
        <f>IF('G2 MT Reading Scoresheet'!D84&lt;&gt;"",'G2 MT Reading Scoresheet'!D84,"")</f>
        <v/>
      </c>
      <c r="E84" s="169" t="str">
        <f>IF('G2 MT Reading Scoresheet'!E84&lt;&gt;"",'G2 MT Reading Scoresheet'!E84,"")</f>
        <v/>
      </c>
      <c r="F84" s="172"/>
      <c r="G84" s="171"/>
      <c r="H84" s="174"/>
      <c r="I84" s="193" t="str">
        <f t="shared" si="8"/>
        <v/>
      </c>
      <c r="J84" s="194" t="str">
        <f t="shared" si="9"/>
        <v/>
      </c>
      <c r="K84" s="195"/>
      <c r="L84" s="196"/>
      <c r="M84" s="166" t="str">
        <f t="shared" si="10"/>
        <v/>
      </c>
      <c r="N84" s="174"/>
      <c r="O84" s="174"/>
      <c r="P84" s="166" t="str">
        <f t="shared" si="11"/>
        <v/>
      </c>
      <c r="Q84" s="213" t="str">
        <f t="shared" si="12"/>
        <v/>
      </c>
      <c r="R84" s="174"/>
      <c r="S84" s="174"/>
      <c r="T84" s="214"/>
      <c r="U84" s="215" t="str">
        <f t="shared" si="13"/>
        <v/>
      </c>
      <c r="V84" s="216"/>
      <c r="Y84" s="219" t="str">
        <f t="shared" si="14"/>
        <v/>
      </c>
    </row>
    <row r="85" spans="1:25">
      <c r="A85" s="165">
        <f t="shared" si="7"/>
        <v>75</v>
      </c>
      <c r="B85" s="175" t="str">
        <f>IF('G2 MT Reading Scoresheet'!B85&lt;&gt;"",'G2 MT Reading Scoresheet'!B85,"")</f>
        <v/>
      </c>
      <c r="C85" s="167" t="str">
        <f>IF('G2 MT Reading Scoresheet'!C85&lt;&gt;"",'G2 MT Reading Scoresheet'!C85,"")</f>
        <v/>
      </c>
      <c r="D85" s="168" t="str">
        <f>IF('G2 MT Reading Scoresheet'!D85&lt;&gt;"",'G2 MT Reading Scoresheet'!D85,"")</f>
        <v/>
      </c>
      <c r="E85" s="169" t="str">
        <f>IF('G2 MT Reading Scoresheet'!E85&lt;&gt;"",'G2 MT Reading Scoresheet'!E85,"")</f>
        <v/>
      </c>
      <c r="F85" s="170"/>
      <c r="G85" s="164"/>
      <c r="H85" s="173"/>
      <c r="I85" s="193" t="str">
        <f t="shared" si="8"/>
        <v/>
      </c>
      <c r="J85" s="194" t="str">
        <f t="shared" si="9"/>
        <v/>
      </c>
      <c r="K85" s="197"/>
      <c r="L85" s="198"/>
      <c r="M85" s="166" t="str">
        <f t="shared" si="10"/>
        <v/>
      </c>
      <c r="N85" s="173"/>
      <c r="O85" s="173"/>
      <c r="P85" s="166" t="str">
        <f t="shared" si="11"/>
        <v/>
      </c>
      <c r="Q85" s="213" t="str">
        <f t="shared" si="12"/>
        <v/>
      </c>
      <c r="R85" s="173"/>
      <c r="S85" s="173"/>
      <c r="T85" s="217"/>
      <c r="U85" s="215" t="str">
        <f t="shared" si="13"/>
        <v/>
      </c>
      <c r="V85" s="218"/>
      <c r="Y85" s="219" t="str">
        <f t="shared" si="14"/>
        <v/>
      </c>
    </row>
    <row r="86" spans="1:25">
      <c r="A86" s="57">
        <f t="shared" si="7"/>
        <v>76</v>
      </c>
      <c r="B86" s="175" t="str">
        <f>IF('G2 MT Reading Scoresheet'!B86&lt;&gt;"",'G2 MT Reading Scoresheet'!B86,"")</f>
        <v/>
      </c>
      <c r="C86" s="167" t="str">
        <f>IF('G2 MT Reading Scoresheet'!C86&lt;&gt;"",'G2 MT Reading Scoresheet'!C86,"")</f>
        <v/>
      </c>
      <c r="D86" s="168" t="str">
        <f>IF('G2 MT Reading Scoresheet'!D86&lt;&gt;"",'G2 MT Reading Scoresheet'!D86,"")</f>
        <v/>
      </c>
      <c r="E86" s="169" t="str">
        <f>IF('G2 MT Reading Scoresheet'!E86&lt;&gt;"",'G2 MT Reading Scoresheet'!E86,"")</f>
        <v/>
      </c>
      <c r="F86" s="172"/>
      <c r="G86" s="171"/>
      <c r="H86" s="174"/>
      <c r="I86" s="193" t="str">
        <f t="shared" si="8"/>
        <v/>
      </c>
      <c r="J86" s="194" t="str">
        <f t="shared" si="9"/>
        <v/>
      </c>
      <c r="K86" s="195"/>
      <c r="L86" s="196"/>
      <c r="M86" s="166" t="str">
        <f t="shared" si="10"/>
        <v/>
      </c>
      <c r="N86" s="174"/>
      <c r="O86" s="174"/>
      <c r="P86" s="166" t="str">
        <f t="shared" si="11"/>
        <v/>
      </c>
      <c r="Q86" s="213" t="str">
        <f t="shared" si="12"/>
        <v/>
      </c>
      <c r="R86" s="174"/>
      <c r="S86" s="174"/>
      <c r="T86" s="214"/>
      <c r="U86" s="215" t="str">
        <f t="shared" si="13"/>
        <v/>
      </c>
      <c r="V86" s="216"/>
      <c r="Y86" s="219" t="str">
        <f t="shared" si="14"/>
        <v/>
      </c>
    </row>
    <row r="87" spans="1:25">
      <c r="A87" s="165">
        <f t="shared" si="7"/>
        <v>77</v>
      </c>
      <c r="B87" s="175" t="str">
        <f>IF('G2 MT Reading Scoresheet'!B87&lt;&gt;"",'G2 MT Reading Scoresheet'!B87,"")</f>
        <v/>
      </c>
      <c r="C87" s="167" t="str">
        <f>IF('G2 MT Reading Scoresheet'!C87&lt;&gt;"",'G2 MT Reading Scoresheet'!C87,"")</f>
        <v/>
      </c>
      <c r="D87" s="168" t="str">
        <f>IF('G2 MT Reading Scoresheet'!D87&lt;&gt;"",'G2 MT Reading Scoresheet'!D87,"")</f>
        <v/>
      </c>
      <c r="E87" s="169" t="str">
        <f>IF('G2 MT Reading Scoresheet'!E87&lt;&gt;"",'G2 MT Reading Scoresheet'!E87,"")</f>
        <v/>
      </c>
      <c r="F87" s="170"/>
      <c r="G87" s="164"/>
      <c r="H87" s="173"/>
      <c r="I87" s="193" t="str">
        <f t="shared" si="8"/>
        <v/>
      </c>
      <c r="J87" s="194" t="str">
        <f t="shared" si="9"/>
        <v/>
      </c>
      <c r="K87" s="197"/>
      <c r="L87" s="198"/>
      <c r="M87" s="166" t="str">
        <f t="shared" si="10"/>
        <v/>
      </c>
      <c r="N87" s="173"/>
      <c r="O87" s="173"/>
      <c r="P87" s="166" t="str">
        <f t="shared" si="11"/>
        <v/>
      </c>
      <c r="Q87" s="213" t="str">
        <f t="shared" si="12"/>
        <v/>
      </c>
      <c r="R87" s="173"/>
      <c r="S87" s="173"/>
      <c r="T87" s="217"/>
      <c r="U87" s="215" t="str">
        <f t="shared" si="13"/>
        <v/>
      </c>
      <c r="V87" s="218"/>
      <c r="Y87" s="219" t="str">
        <f t="shared" si="14"/>
        <v/>
      </c>
    </row>
    <row r="88" spans="1:25">
      <c r="A88" s="57">
        <f t="shared" si="7"/>
        <v>78</v>
      </c>
      <c r="B88" s="175" t="str">
        <f>IF('G2 MT Reading Scoresheet'!B88&lt;&gt;"",'G2 MT Reading Scoresheet'!B88,"")</f>
        <v/>
      </c>
      <c r="C88" s="167" t="str">
        <f>IF('G2 MT Reading Scoresheet'!C88&lt;&gt;"",'G2 MT Reading Scoresheet'!C88,"")</f>
        <v/>
      </c>
      <c r="D88" s="168" t="str">
        <f>IF('G2 MT Reading Scoresheet'!D88&lt;&gt;"",'G2 MT Reading Scoresheet'!D88,"")</f>
        <v/>
      </c>
      <c r="E88" s="169" t="str">
        <f>IF('G2 MT Reading Scoresheet'!E88&lt;&gt;"",'G2 MT Reading Scoresheet'!E88,"")</f>
        <v/>
      </c>
      <c r="F88" s="172"/>
      <c r="G88" s="171"/>
      <c r="H88" s="174"/>
      <c r="I88" s="193" t="str">
        <f t="shared" si="8"/>
        <v/>
      </c>
      <c r="J88" s="194" t="str">
        <f t="shared" si="9"/>
        <v/>
      </c>
      <c r="K88" s="195"/>
      <c r="L88" s="196"/>
      <c r="M88" s="166" t="str">
        <f t="shared" si="10"/>
        <v/>
      </c>
      <c r="N88" s="174"/>
      <c r="O88" s="174"/>
      <c r="P88" s="166" t="str">
        <f t="shared" si="11"/>
        <v/>
      </c>
      <c r="Q88" s="213" t="str">
        <f t="shared" si="12"/>
        <v/>
      </c>
      <c r="R88" s="174"/>
      <c r="S88" s="174"/>
      <c r="T88" s="214"/>
      <c r="U88" s="215" t="str">
        <f t="shared" si="13"/>
        <v/>
      </c>
      <c r="V88" s="216"/>
      <c r="Y88" s="219" t="str">
        <f t="shared" si="14"/>
        <v/>
      </c>
    </row>
    <row r="89" spans="1:25">
      <c r="A89" s="165">
        <f t="shared" si="7"/>
        <v>79</v>
      </c>
      <c r="B89" s="175" t="str">
        <f>IF('G2 MT Reading Scoresheet'!B89&lt;&gt;"",'G2 MT Reading Scoresheet'!B89,"")</f>
        <v/>
      </c>
      <c r="C89" s="167" t="str">
        <f>IF('G2 MT Reading Scoresheet'!C89&lt;&gt;"",'G2 MT Reading Scoresheet'!C89,"")</f>
        <v/>
      </c>
      <c r="D89" s="168" t="str">
        <f>IF('G2 MT Reading Scoresheet'!D89&lt;&gt;"",'G2 MT Reading Scoresheet'!D89,"")</f>
        <v/>
      </c>
      <c r="E89" s="169" t="str">
        <f>IF('G2 MT Reading Scoresheet'!E89&lt;&gt;"",'G2 MT Reading Scoresheet'!E89,"")</f>
        <v/>
      </c>
      <c r="F89" s="170"/>
      <c r="G89" s="164"/>
      <c r="H89" s="173"/>
      <c r="I89" s="193" t="str">
        <f t="shared" si="8"/>
        <v/>
      </c>
      <c r="J89" s="194" t="str">
        <f t="shared" si="9"/>
        <v/>
      </c>
      <c r="K89" s="197"/>
      <c r="L89" s="198"/>
      <c r="M89" s="166" t="str">
        <f t="shared" si="10"/>
        <v/>
      </c>
      <c r="N89" s="173"/>
      <c r="O89" s="173"/>
      <c r="P89" s="166" t="str">
        <f t="shared" si="11"/>
        <v/>
      </c>
      <c r="Q89" s="213" t="str">
        <f t="shared" si="12"/>
        <v/>
      </c>
      <c r="R89" s="173"/>
      <c r="S89" s="173"/>
      <c r="T89" s="217"/>
      <c r="U89" s="215" t="str">
        <f t="shared" si="13"/>
        <v/>
      </c>
      <c r="V89" s="218"/>
      <c r="Y89" s="219" t="str">
        <f t="shared" si="14"/>
        <v/>
      </c>
    </row>
    <row r="90" spans="1:25">
      <c r="A90" s="57">
        <f t="shared" si="7"/>
        <v>80</v>
      </c>
      <c r="B90" s="175" t="str">
        <f>IF('G2 MT Reading Scoresheet'!B90&lt;&gt;"",'G2 MT Reading Scoresheet'!B90,"")</f>
        <v/>
      </c>
      <c r="C90" s="167" t="str">
        <f>IF('G2 MT Reading Scoresheet'!C90&lt;&gt;"",'G2 MT Reading Scoresheet'!C90,"")</f>
        <v/>
      </c>
      <c r="D90" s="168" t="str">
        <f>IF('G2 MT Reading Scoresheet'!D90&lt;&gt;"",'G2 MT Reading Scoresheet'!D90,"")</f>
        <v/>
      </c>
      <c r="E90" s="169" t="str">
        <f>IF('G2 MT Reading Scoresheet'!E90&lt;&gt;"",'G2 MT Reading Scoresheet'!E90,"")</f>
        <v/>
      </c>
      <c r="F90" s="172"/>
      <c r="G90" s="171"/>
      <c r="H90" s="174"/>
      <c r="I90" s="193" t="str">
        <f t="shared" si="8"/>
        <v/>
      </c>
      <c r="J90" s="194" t="str">
        <f t="shared" si="9"/>
        <v/>
      </c>
      <c r="K90" s="195"/>
      <c r="L90" s="196"/>
      <c r="M90" s="166" t="str">
        <f t="shared" si="10"/>
        <v/>
      </c>
      <c r="N90" s="174"/>
      <c r="O90" s="174"/>
      <c r="P90" s="166" t="str">
        <f t="shared" si="11"/>
        <v/>
      </c>
      <c r="Q90" s="213" t="str">
        <f t="shared" si="12"/>
        <v/>
      </c>
      <c r="R90" s="174"/>
      <c r="S90" s="174"/>
      <c r="T90" s="214"/>
      <c r="U90" s="215" t="str">
        <f t="shared" si="13"/>
        <v/>
      </c>
      <c r="V90" s="216"/>
      <c r="Y90" s="219" t="str">
        <f t="shared" si="14"/>
        <v/>
      </c>
    </row>
    <row r="91" spans="1:25">
      <c r="A91" s="165">
        <f t="shared" si="7"/>
        <v>81</v>
      </c>
      <c r="B91" s="175" t="str">
        <f>IF('G2 MT Reading Scoresheet'!B91&lt;&gt;"",'G2 MT Reading Scoresheet'!B91,"")</f>
        <v/>
      </c>
      <c r="C91" s="167" t="str">
        <f>IF('G2 MT Reading Scoresheet'!C91&lt;&gt;"",'G2 MT Reading Scoresheet'!C91,"")</f>
        <v/>
      </c>
      <c r="D91" s="168" t="str">
        <f>IF('G2 MT Reading Scoresheet'!D91&lt;&gt;"",'G2 MT Reading Scoresheet'!D91,"")</f>
        <v/>
      </c>
      <c r="E91" s="169" t="str">
        <f>IF('G2 MT Reading Scoresheet'!E91&lt;&gt;"",'G2 MT Reading Scoresheet'!E91,"")</f>
        <v/>
      </c>
      <c r="F91" s="170"/>
      <c r="G91" s="164"/>
      <c r="H91" s="173"/>
      <c r="I91" s="193" t="str">
        <f t="shared" si="8"/>
        <v/>
      </c>
      <c r="J91" s="194" t="str">
        <f t="shared" si="9"/>
        <v/>
      </c>
      <c r="K91" s="197"/>
      <c r="L91" s="198"/>
      <c r="M91" s="166" t="str">
        <f t="shared" si="10"/>
        <v/>
      </c>
      <c r="N91" s="173"/>
      <c r="O91" s="173"/>
      <c r="P91" s="166" t="str">
        <f t="shared" si="11"/>
        <v/>
      </c>
      <c r="Q91" s="213" t="str">
        <f t="shared" si="12"/>
        <v/>
      </c>
      <c r="R91" s="173"/>
      <c r="S91" s="173"/>
      <c r="T91" s="217"/>
      <c r="U91" s="215" t="str">
        <f t="shared" si="13"/>
        <v/>
      </c>
      <c r="V91" s="218"/>
      <c r="Y91" s="219" t="str">
        <f t="shared" si="14"/>
        <v/>
      </c>
    </row>
    <row r="92" spans="1:25">
      <c r="A92" s="57">
        <f t="shared" si="7"/>
        <v>82</v>
      </c>
      <c r="B92" s="175" t="str">
        <f>IF('G2 MT Reading Scoresheet'!B92&lt;&gt;"",'G2 MT Reading Scoresheet'!B92,"")</f>
        <v/>
      </c>
      <c r="C92" s="167" t="str">
        <f>IF('G2 MT Reading Scoresheet'!C92&lt;&gt;"",'G2 MT Reading Scoresheet'!C92,"")</f>
        <v/>
      </c>
      <c r="D92" s="168" t="str">
        <f>IF('G2 MT Reading Scoresheet'!D92&lt;&gt;"",'G2 MT Reading Scoresheet'!D92,"")</f>
        <v/>
      </c>
      <c r="E92" s="169" t="str">
        <f>IF('G2 MT Reading Scoresheet'!E92&lt;&gt;"",'G2 MT Reading Scoresheet'!E92,"")</f>
        <v/>
      </c>
      <c r="F92" s="172"/>
      <c r="G92" s="171"/>
      <c r="H92" s="174"/>
      <c r="I92" s="193" t="str">
        <f t="shared" si="8"/>
        <v/>
      </c>
      <c r="J92" s="194" t="str">
        <f t="shared" si="9"/>
        <v/>
      </c>
      <c r="K92" s="195"/>
      <c r="L92" s="196"/>
      <c r="M92" s="166" t="str">
        <f t="shared" si="10"/>
        <v/>
      </c>
      <c r="N92" s="174"/>
      <c r="O92" s="174"/>
      <c r="P92" s="166" t="str">
        <f t="shared" si="11"/>
        <v/>
      </c>
      <c r="Q92" s="213" t="str">
        <f t="shared" si="12"/>
        <v/>
      </c>
      <c r="R92" s="174"/>
      <c r="S92" s="174"/>
      <c r="T92" s="214"/>
      <c r="U92" s="215" t="str">
        <f t="shared" si="13"/>
        <v/>
      </c>
      <c r="V92" s="216"/>
      <c r="Y92" s="219" t="str">
        <f t="shared" si="14"/>
        <v/>
      </c>
    </row>
    <row r="93" spans="1:25">
      <c r="A93" s="165">
        <f t="shared" si="7"/>
        <v>83</v>
      </c>
      <c r="B93" s="175" t="str">
        <f>IF('G2 MT Reading Scoresheet'!B93&lt;&gt;"",'G2 MT Reading Scoresheet'!B93,"")</f>
        <v/>
      </c>
      <c r="C93" s="167" t="str">
        <f>IF('G2 MT Reading Scoresheet'!C93&lt;&gt;"",'G2 MT Reading Scoresheet'!C93,"")</f>
        <v/>
      </c>
      <c r="D93" s="168" t="str">
        <f>IF('G2 MT Reading Scoresheet'!D93&lt;&gt;"",'G2 MT Reading Scoresheet'!D93,"")</f>
        <v/>
      </c>
      <c r="E93" s="169" t="str">
        <f>IF('G2 MT Reading Scoresheet'!E93&lt;&gt;"",'G2 MT Reading Scoresheet'!E93,"")</f>
        <v/>
      </c>
      <c r="F93" s="170"/>
      <c r="G93" s="164"/>
      <c r="H93" s="173"/>
      <c r="I93" s="193" t="str">
        <f t="shared" si="8"/>
        <v/>
      </c>
      <c r="J93" s="194" t="str">
        <f t="shared" si="9"/>
        <v/>
      </c>
      <c r="K93" s="197"/>
      <c r="L93" s="198"/>
      <c r="M93" s="166" t="str">
        <f t="shared" si="10"/>
        <v/>
      </c>
      <c r="N93" s="173"/>
      <c r="O93" s="173"/>
      <c r="P93" s="166" t="str">
        <f t="shared" si="11"/>
        <v/>
      </c>
      <c r="Q93" s="213" t="str">
        <f t="shared" si="12"/>
        <v/>
      </c>
      <c r="R93" s="173"/>
      <c r="S93" s="173"/>
      <c r="T93" s="217"/>
      <c r="U93" s="215" t="str">
        <f t="shared" si="13"/>
        <v/>
      </c>
      <c r="V93" s="218"/>
      <c r="Y93" s="219" t="str">
        <f t="shared" si="14"/>
        <v/>
      </c>
    </row>
    <row r="94" spans="1:25">
      <c r="A94" s="57">
        <f t="shared" si="7"/>
        <v>84</v>
      </c>
      <c r="B94" s="175" t="str">
        <f>IF('G2 MT Reading Scoresheet'!B94&lt;&gt;"",'G2 MT Reading Scoresheet'!B94,"")</f>
        <v/>
      </c>
      <c r="C94" s="167" t="str">
        <f>IF('G2 MT Reading Scoresheet'!C94&lt;&gt;"",'G2 MT Reading Scoresheet'!C94,"")</f>
        <v/>
      </c>
      <c r="D94" s="168" t="str">
        <f>IF('G2 MT Reading Scoresheet'!D94&lt;&gt;"",'G2 MT Reading Scoresheet'!D94,"")</f>
        <v/>
      </c>
      <c r="E94" s="169" t="str">
        <f>IF('G2 MT Reading Scoresheet'!E94&lt;&gt;"",'G2 MT Reading Scoresheet'!E94,"")</f>
        <v/>
      </c>
      <c r="F94" s="172"/>
      <c r="G94" s="171"/>
      <c r="H94" s="174"/>
      <c r="I94" s="193" t="str">
        <f t="shared" si="8"/>
        <v/>
      </c>
      <c r="J94" s="194" t="str">
        <f t="shared" si="9"/>
        <v/>
      </c>
      <c r="K94" s="195"/>
      <c r="L94" s="196"/>
      <c r="M94" s="166" t="str">
        <f t="shared" si="10"/>
        <v/>
      </c>
      <c r="N94" s="174"/>
      <c r="O94" s="174"/>
      <c r="P94" s="166" t="str">
        <f t="shared" si="11"/>
        <v/>
      </c>
      <c r="Q94" s="213" t="str">
        <f t="shared" si="12"/>
        <v/>
      </c>
      <c r="R94" s="174"/>
      <c r="S94" s="174"/>
      <c r="T94" s="214"/>
      <c r="U94" s="215" t="str">
        <f t="shared" si="13"/>
        <v/>
      </c>
      <c r="V94" s="216"/>
      <c r="Y94" s="219" t="str">
        <f t="shared" si="14"/>
        <v/>
      </c>
    </row>
    <row r="95" spans="1:25">
      <c r="A95" s="165">
        <f t="shared" si="7"/>
        <v>85</v>
      </c>
      <c r="B95" s="175" t="str">
        <f>IF('G2 MT Reading Scoresheet'!B95&lt;&gt;"",'G2 MT Reading Scoresheet'!B95,"")</f>
        <v/>
      </c>
      <c r="C95" s="167" t="str">
        <f>IF('G2 MT Reading Scoresheet'!C95&lt;&gt;"",'G2 MT Reading Scoresheet'!C95,"")</f>
        <v/>
      </c>
      <c r="D95" s="168" t="str">
        <f>IF('G2 MT Reading Scoresheet'!D95&lt;&gt;"",'G2 MT Reading Scoresheet'!D95,"")</f>
        <v/>
      </c>
      <c r="E95" s="169" t="str">
        <f>IF('G2 MT Reading Scoresheet'!E95&lt;&gt;"",'G2 MT Reading Scoresheet'!E95,"")</f>
        <v/>
      </c>
      <c r="F95" s="170"/>
      <c r="G95" s="164"/>
      <c r="H95" s="173"/>
      <c r="I95" s="193" t="str">
        <f t="shared" si="8"/>
        <v/>
      </c>
      <c r="J95" s="194" t="str">
        <f t="shared" si="9"/>
        <v/>
      </c>
      <c r="K95" s="197"/>
      <c r="L95" s="198"/>
      <c r="M95" s="166" t="str">
        <f t="shared" si="10"/>
        <v/>
      </c>
      <c r="N95" s="173"/>
      <c r="O95" s="173"/>
      <c r="P95" s="166" t="str">
        <f t="shared" si="11"/>
        <v/>
      </c>
      <c r="Q95" s="213" t="str">
        <f t="shared" si="12"/>
        <v/>
      </c>
      <c r="R95" s="173"/>
      <c r="S95" s="173"/>
      <c r="T95" s="217"/>
      <c r="U95" s="215" t="str">
        <f t="shared" si="13"/>
        <v/>
      </c>
      <c r="V95" s="218"/>
      <c r="Y95" s="219" t="str">
        <f t="shared" si="14"/>
        <v/>
      </c>
    </row>
    <row r="96" spans="1:25">
      <c r="A96" s="57">
        <f t="shared" si="7"/>
        <v>86</v>
      </c>
      <c r="B96" s="175" t="str">
        <f>IF('G2 MT Reading Scoresheet'!B96&lt;&gt;"",'G2 MT Reading Scoresheet'!B96,"")</f>
        <v/>
      </c>
      <c r="C96" s="167" t="str">
        <f>IF('G2 MT Reading Scoresheet'!C96&lt;&gt;"",'G2 MT Reading Scoresheet'!C96,"")</f>
        <v/>
      </c>
      <c r="D96" s="168" t="str">
        <f>IF('G2 MT Reading Scoresheet'!D96&lt;&gt;"",'G2 MT Reading Scoresheet'!D96,"")</f>
        <v/>
      </c>
      <c r="E96" s="169" t="str">
        <f>IF('G2 MT Reading Scoresheet'!E96&lt;&gt;"",'G2 MT Reading Scoresheet'!E96,"")</f>
        <v/>
      </c>
      <c r="F96" s="172"/>
      <c r="G96" s="171"/>
      <c r="H96" s="174"/>
      <c r="I96" s="193" t="str">
        <f t="shared" si="8"/>
        <v/>
      </c>
      <c r="J96" s="194" t="str">
        <f t="shared" si="9"/>
        <v/>
      </c>
      <c r="K96" s="195"/>
      <c r="L96" s="196"/>
      <c r="M96" s="166" t="str">
        <f t="shared" si="10"/>
        <v/>
      </c>
      <c r="N96" s="174"/>
      <c r="O96" s="174"/>
      <c r="P96" s="166" t="str">
        <f t="shared" si="11"/>
        <v/>
      </c>
      <c r="Q96" s="213" t="str">
        <f t="shared" si="12"/>
        <v/>
      </c>
      <c r="R96" s="174"/>
      <c r="S96" s="174"/>
      <c r="T96" s="214"/>
      <c r="U96" s="215" t="str">
        <f t="shared" si="13"/>
        <v/>
      </c>
      <c r="V96" s="216"/>
      <c r="Y96" s="219" t="str">
        <f t="shared" si="14"/>
        <v/>
      </c>
    </row>
    <row r="97" spans="1:25">
      <c r="A97" s="165">
        <f t="shared" si="7"/>
        <v>87</v>
      </c>
      <c r="B97" s="175" t="str">
        <f>IF('G2 MT Reading Scoresheet'!B97&lt;&gt;"",'G2 MT Reading Scoresheet'!B97,"")</f>
        <v/>
      </c>
      <c r="C97" s="167" t="str">
        <f>IF('G2 MT Reading Scoresheet'!C97&lt;&gt;"",'G2 MT Reading Scoresheet'!C97,"")</f>
        <v/>
      </c>
      <c r="D97" s="168" t="str">
        <f>IF('G2 MT Reading Scoresheet'!D97&lt;&gt;"",'G2 MT Reading Scoresheet'!D97,"")</f>
        <v/>
      </c>
      <c r="E97" s="169" t="str">
        <f>IF('G2 MT Reading Scoresheet'!E97&lt;&gt;"",'G2 MT Reading Scoresheet'!E97,"")</f>
        <v/>
      </c>
      <c r="F97" s="170"/>
      <c r="G97" s="164"/>
      <c r="H97" s="173"/>
      <c r="I97" s="193" t="str">
        <f t="shared" si="8"/>
        <v/>
      </c>
      <c r="J97" s="194" t="str">
        <f t="shared" si="9"/>
        <v/>
      </c>
      <c r="K97" s="197"/>
      <c r="L97" s="198"/>
      <c r="M97" s="166" t="str">
        <f t="shared" si="10"/>
        <v/>
      </c>
      <c r="N97" s="173"/>
      <c r="O97" s="173"/>
      <c r="P97" s="166" t="str">
        <f t="shared" si="11"/>
        <v/>
      </c>
      <c r="Q97" s="213" t="str">
        <f t="shared" si="12"/>
        <v/>
      </c>
      <c r="R97" s="173"/>
      <c r="S97" s="173"/>
      <c r="T97" s="217"/>
      <c r="U97" s="215" t="str">
        <f t="shared" si="13"/>
        <v/>
      </c>
      <c r="V97" s="218"/>
      <c r="Y97" s="219" t="str">
        <f t="shared" si="14"/>
        <v/>
      </c>
    </row>
    <row r="98" spans="1:25">
      <c r="A98" s="57">
        <f t="shared" si="7"/>
        <v>88</v>
      </c>
      <c r="B98" s="175" t="str">
        <f>IF('G2 MT Reading Scoresheet'!B98&lt;&gt;"",'G2 MT Reading Scoresheet'!B98,"")</f>
        <v/>
      </c>
      <c r="C98" s="167" t="str">
        <f>IF('G2 MT Reading Scoresheet'!C98&lt;&gt;"",'G2 MT Reading Scoresheet'!C98,"")</f>
        <v/>
      </c>
      <c r="D98" s="168" t="str">
        <f>IF('G2 MT Reading Scoresheet'!D98&lt;&gt;"",'G2 MT Reading Scoresheet'!D98,"")</f>
        <v/>
      </c>
      <c r="E98" s="169" t="str">
        <f>IF('G2 MT Reading Scoresheet'!E98&lt;&gt;"",'G2 MT Reading Scoresheet'!E98,"")</f>
        <v/>
      </c>
      <c r="F98" s="172"/>
      <c r="G98" s="171"/>
      <c r="H98" s="174"/>
      <c r="I98" s="193" t="str">
        <f t="shared" si="8"/>
        <v/>
      </c>
      <c r="J98" s="194" t="str">
        <f t="shared" si="9"/>
        <v/>
      </c>
      <c r="K98" s="195"/>
      <c r="L98" s="196"/>
      <c r="M98" s="166" t="str">
        <f t="shared" si="10"/>
        <v/>
      </c>
      <c r="N98" s="174"/>
      <c r="O98" s="174"/>
      <c r="P98" s="166" t="str">
        <f t="shared" si="11"/>
        <v/>
      </c>
      <c r="Q98" s="213" t="str">
        <f t="shared" si="12"/>
        <v/>
      </c>
      <c r="R98" s="174"/>
      <c r="S98" s="174"/>
      <c r="T98" s="214"/>
      <c r="U98" s="215" t="str">
        <f t="shared" si="13"/>
        <v/>
      </c>
      <c r="V98" s="216"/>
      <c r="Y98" s="219" t="str">
        <f t="shared" si="14"/>
        <v/>
      </c>
    </row>
    <row r="99" spans="1:25">
      <c r="A99" s="165">
        <f t="shared" si="7"/>
        <v>89</v>
      </c>
      <c r="B99" s="175" t="str">
        <f>IF('G2 MT Reading Scoresheet'!B99&lt;&gt;"",'G2 MT Reading Scoresheet'!B99,"")</f>
        <v/>
      </c>
      <c r="C99" s="167" t="str">
        <f>IF('G2 MT Reading Scoresheet'!C99&lt;&gt;"",'G2 MT Reading Scoresheet'!C99,"")</f>
        <v/>
      </c>
      <c r="D99" s="168" t="str">
        <f>IF('G2 MT Reading Scoresheet'!D99&lt;&gt;"",'G2 MT Reading Scoresheet'!D99,"")</f>
        <v/>
      </c>
      <c r="E99" s="169" t="str">
        <f>IF('G2 MT Reading Scoresheet'!E99&lt;&gt;"",'G2 MT Reading Scoresheet'!E99,"")</f>
        <v/>
      </c>
      <c r="F99" s="170"/>
      <c r="G99" s="164"/>
      <c r="H99" s="173"/>
      <c r="I99" s="193" t="str">
        <f t="shared" si="8"/>
        <v/>
      </c>
      <c r="J99" s="194" t="str">
        <f t="shared" si="9"/>
        <v/>
      </c>
      <c r="K99" s="197"/>
      <c r="L99" s="198"/>
      <c r="M99" s="166" t="str">
        <f t="shared" si="10"/>
        <v/>
      </c>
      <c r="N99" s="173"/>
      <c r="O99" s="173"/>
      <c r="P99" s="166" t="str">
        <f t="shared" si="11"/>
        <v/>
      </c>
      <c r="Q99" s="213" t="str">
        <f t="shared" si="12"/>
        <v/>
      </c>
      <c r="R99" s="173"/>
      <c r="S99" s="173"/>
      <c r="T99" s="217"/>
      <c r="U99" s="215" t="str">
        <f t="shared" si="13"/>
        <v/>
      </c>
      <c r="V99" s="218"/>
      <c r="Y99" s="219" t="str">
        <f t="shared" si="14"/>
        <v/>
      </c>
    </row>
    <row r="100" spans="1:25">
      <c r="A100" s="57">
        <f t="shared" si="7"/>
        <v>90</v>
      </c>
      <c r="B100" s="175" t="str">
        <f>IF('G2 MT Reading Scoresheet'!B100&lt;&gt;"",'G2 MT Reading Scoresheet'!B100,"")</f>
        <v/>
      </c>
      <c r="C100" s="167" t="str">
        <f>IF('G2 MT Reading Scoresheet'!C100&lt;&gt;"",'G2 MT Reading Scoresheet'!C100,"")</f>
        <v/>
      </c>
      <c r="D100" s="168" t="str">
        <f>IF('G2 MT Reading Scoresheet'!D100&lt;&gt;"",'G2 MT Reading Scoresheet'!D100,"")</f>
        <v/>
      </c>
      <c r="E100" s="169" t="str">
        <f>IF('G2 MT Reading Scoresheet'!E100&lt;&gt;"",'G2 MT Reading Scoresheet'!E100,"")</f>
        <v/>
      </c>
      <c r="F100" s="172"/>
      <c r="G100" s="171"/>
      <c r="H100" s="174"/>
      <c r="I100" s="193" t="str">
        <f t="shared" si="8"/>
        <v/>
      </c>
      <c r="J100" s="194" t="str">
        <f t="shared" si="9"/>
        <v/>
      </c>
      <c r="K100" s="195"/>
      <c r="L100" s="196"/>
      <c r="M100" s="166" t="str">
        <f t="shared" si="10"/>
        <v/>
      </c>
      <c r="N100" s="174"/>
      <c r="O100" s="174"/>
      <c r="P100" s="166" t="str">
        <f t="shared" si="11"/>
        <v/>
      </c>
      <c r="Q100" s="213" t="str">
        <f t="shared" si="12"/>
        <v/>
      </c>
      <c r="R100" s="174"/>
      <c r="S100" s="174"/>
      <c r="T100" s="214"/>
      <c r="U100" s="215" t="str">
        <f t="shared" si="13"/>
        <v/>
      </c>
      <c r="V100" s="216"/>
      <c r="Y100" s="219" t="str">
        <f t="shared" si="14"/>
        <v/>
      </c>
    </row>
    <row r="101" spans="1:25">
      <c r="A101" s="165">
        <f t="shared" si="7"/>
        <v>91</v>
      </c>
      <c r="B101" s="175" t="str">
        <f>IF('G2 MT Reading Scoresheet'!B101&lt;&gt;"",'G2 MT Reading Scoresheet'!B101,"")</f>
        <v/>
      </c>
      <c r="C101" s="167" t="str">
        <f>IF('G2 MT Reading Scoresheet'!C101&lt;&gt;"",'G2 MT Reading Scoresheet'!C101,"")</f>
        <v/>
      </c>
      <c r="D101" s="168" t="str">
        <f>IF('G2 MT Reading Scoresheet'!D101&lt;&gt;"",'G2 MT Reading Scoresheet'!D101,"")</f>
        <v/>
      </c>
      <c r="E101" s="169" t="str">
        <f>IF('G2 MT Reading Scoresheet'!E101&lt;&gt;"",'G2 MT Reading Scoresheet'!E101,"")</f>
        <v/>
      </c>
      <c r="F101" s="170"/>
      <c r="G101" s="164"/>
      <c r="H101" s="173"/>
      <c r="I101" s="193" t="str">
        <f t="shared" si="8"/>
        <v/>
      </c>
      <c r="J101" s="194" t="str">
        <f t="shared" si="9"/>
        <v/>
      </c>
      <c r="K101" s="197"/>
      <c r="L101" s="198"/>
      <c r="M101" s="166" t="str">
        <f t="shared" si="10"/>
        <v/>
      </c>
      <c r="N101" s="173"/>
      <c r="O101" s="173"/>
      <c r="P101" s="166" t="str">
        <f t="shared" si="11"/>
        <v/>
      </c>
      <c r="Q101" s="213" t="str">
        <f t="shared" si="12"/>
        <v/>
      </c>
      <c r="R101" s="173"/>
      <c r="S101" s="173"/>
      <c r="T101" s="217"/>
      <c r="U101" s="215" t="str">
        <f t="shared" si="13"/>
        <v/>
      </c>
      <c r="V101" s="218"/>
      <c r="Y101" s="219" t="str">
        <f t="shared" si="14"/>
        <v/>
      </c>
    </row>
    <row r="102" spans="1:25">
      <c r="A102" s="57">
        <f t="shared" si="7"/>
        <v>92</v>
      </c>
      <c r="B102" s="175" t="str">
        <f>IF('G2 MT Reading Scoresheet'!B102&lt;&gt;"",'G2 MT Reading Scoresheet'!B102,"")</f>
        <v/>
      </c>
      <c r="C102" s="167" t="str">
        <f>IF('G2 MT Reading Scoresheet'!C102&lt;&gt;"",'G2 MT Reading Scoresheet'!C102,"")</f>
        <v/>
      </c>
      <c r="D102" s="168" t="str">
        <f>IF('G2 MT Reading Scoresheet'!D102&lt;&gt;"",'G2 MT Reading Scoresheet'!D102,"")</f>
        <v/>
      </c>
      <c r="E102" s="169" t="str">
        <f>IF('G2 MT Reading Scoresheet'!E102&lt;&gt;"",'G2 MT Reading Scoresheet'!E102,"")</f>
        <v/>
      </c>
      <c r="F102" s="172"/>
      <c r="G102" s="171"/>
      <c r="H102" s="174"/>
      <c r="I102" s="193" t="str">
        <f t="shared" si="8"/>
        <v/>
      </c>
      <c r="J102" s="194" t="str">
        <f t="shared" si="9"/>
        <v/>
      </c>
      <c r="K102" s="195"/>
      <c r="L102" s="196"/>
      <c r="M102" s="166" t="str">
        <f t="shared" si="10"/>
        <v/>
      </c>
      <c r="N102" s="174"/>
      <c r="O102" s="174"/>
      <c r="P102" s="166" t="str">
        <f t="shared" si="11"/>
        <v/>
      </c>
      <c r="Q102" s="213" t="str">
        <f t="shared" si="12"/>
        <v/>
      </c>
      <c r="R102" s="174"/>
      <c r="S102" s="174"/>
      <c r="T102" s="214"/>
      <c r="U102" s="215" t="str">
        <f t="shared" si="13"/>
        <v/>
      </c>
      <c r="V102" s="216"/>
      <c r="Y102" s="219" t="str">
        <f t="shared" si="14"/>
        <v/>
      </c>
    </row>
    <row r="103" spans="1:25">
      <c r="A103" s="165">
        <f t="shared" si="7"/>
        <v>93</v>
      </c>
      <c r="B103" s="175" t="str">
        <f>IF('G2 MT Reading Scoresheet'!B103&lt;&gt;"",'G2 MT Reading Scoresheet'!B103,"")</f>
        <v/>
      </c>
      <c r="C103" s="167" t="str">
        <f>IF('G2 MT Reading Scoresheet'!C103&lt;&gt;"",'G2 MT Reading Scoresheet'!C103,"")</f>
        <v/>
      </c>
      <c r="D103" s="168" t="str">
        <f>IF('G2 MT Reading Scoresheet'!D103&lt;&gt;"",'G2 MT Reading Scoresheet'!D103,"")</f>
        <v/>
      </c>
      <c r="E103" s="169" t="str">
        <f>IF('G2 MT Reading Scoresheet'!E103&lt;&gt;"",'G2 MT Reading Scoresheet'!E103,"")</f>
        <v/>
      </c>
      <c r="F103" s="170"/>
      <c r="G103" s="164"/>
      <c r="H103" s="173"/>
      <c r="I103" s="193" t="str">
        <f t="shared" si="8"/>
        <v/>
      </c>
      <c r="J103" s="194" t="str">
        <f t="shared" si="9"/>
        <v/>
      </c>
      <c r="K103" s="197"/>
      <c r="L103" s="198"/>
      <c r="M103" s="166" t="str">
        <f t="shared" si="10"/>
        <v/>
      </c>
      <c r="N103" s="173"/>
      <c r="O103" s="173"/>
      <c r="P103" s="166" t="str">
        <f t="shared" si="11"/>
        <v/>
      </c>
      <c r="Q103" s="213" t="str">
        <f t="shared" si="12"/>
        <v/>
      </c>
      <c r="R103" s="173"/>
      <c r="S103" s="173"/>
      <c r="T103" s="217"/>
      <c r="U103" s="215" t="str">
        <f t="shared" si="13"/>
        <v/>
      </c>
      <c r="V103" s="218"/>
      <c r="Y103" s="219" t="str">
        <f t="shared" si="14"/>
        <v/>
      </c>
    </row>
    <row r="104" spans="1:25">
      <c r="A104" s="57">
        <f t="shared" si="7"/>
        <v>94</v>
      </c>
      <c r="B104" s="175" t="str">
        <f>IF('G2 MT Reading Scoresheet'!B104&lt;&gt;"",'G2 MT Reading Scoresheet'!B104,"")</f>
        <v/>
      </c>
      <c r="C104" s="167" t="str">
        <f>IF('G2 MT Reading Scoresheet'!C104&lt;&gt;"",'G2 MT Reading Scoresheet'!C104,"")</f>
        <v/>
      </c>
      <c r="D104" s="168" t="str">
        <f>IF('G2 MT Reading Scoresheet'!D104&lt;&gt;"",'G2 MT Reading Scoresheet'!D104,"")</f>
        <v/>
      </c>
      <c r="E104" s="169" t="str">
        <f>IF('G2 MT Reading Scoresheet'!E104&lt;&gt;"",'G2 MT Reading Scoresheet'!E104,"")</f>
        <v/>
      </c>
      <c r="F104" s="172"/>
      <c r="G104" s="171"/>
      <c r="H104" s="174"/>
      <c r="I104" s="193" t="str">
        <f t="shared" si="8"/>
        <v/>
      </c>
      <c r="J104" s="194" t="str">
        <f t="shared" si="9"/>
        <v/>
      </c>
      <c r="K104" s="195"/>
      <c r="L104" s="196"/>
      <c r="M104" s="166" t="str">
        <f t="shared" si="10"/>
        <v/>
      </c>
      <c r="N104" s="174"/>
      <c r="O104" s="174"/>
      <c r="P104" s="166" t="str">
        <f t="shared" si="11"/>
        <v/>
      </c>
      <c r="Q104" s="213" t="str">
        <f t="shared" si="12"/>
        <v/>
      </c>
      <c r="R104" s="174"/>
      <c r="S104" s="174"/>
      <c r="T104" s="214"/>
      <c r="U104" s="215" t="str">
        <f t="shared" si="13"/>
        <v/>
      </c>
      <c r="V104" s="216"/>
      <c r="Y104" s="219" t="str">
        <f t="shared" si="14"/>
        <v/>
      </c>
    </row>
    <row r="105" spans="1:25">
      <c r="A105" s="165">
        <f t="shared" si="7"/>
        <v>95</v>
      </c>
      <c r="B105" s="175" t="str">
        <f>IF('G2 MT Reading Scoresheet'!B105&lt;&gt;"",'G2 MT Reading Scoresheet'!B105,"")</f>
        <v/>
      </c>
      <c r="C105" s="167" t="str">
        <f>IF('G2 MT Reading Scoresheet'!C105&lt;&gt;"",'G2 MT Reading Scoresheet'!C105,"")</f>
        <v/>
      </c>
      <c r="D105" s="168" t="str">
        <f>IF('G2 MT Reading Scoresheet'!D105&lt;&gt;"",'G2 MT Reading Scoresheet'!D105,"")</f>
        <v/>
      </c>
      <c r="E105" s="169" t="str">
        <f>IF('G2 MT Reading Scoresheet'!E105&lt;&gt;"",'G2 MT Reading Scoresheet'!E105,"")</f>
        <v/>
      </c>
      <c r="F105" s="170"/>
      <c r="G105" s="164"/>
      <c r="H105" s="173"/>
      <c r="I105" s="193" t="str">
        <f t="shared" si="8"/>
        <v/>
      </c>
      <c r="J105" s="194" t="str">
        <f t="shared" si="9"/>
        <v/>
      </c>
      <c r="K105" s="197"/>
      <c r="L105" s="198"/>
      <c r="M105" s="166" t="str">
        <f t="shared" si="10"/>
        <v/>
      </c>
      <c r="N105" s="173"/>
      <c r="O105" s="173"/>
      <c r="P105" s="166" t="str">
        <f t="shared" si="11"/>
        <v/>
      </c>
      <c r="Q105" s="213" t="str">
        <f t="shared" si="12"/>
        <v/>
      </c>
      <c r="R105" s="173"/>
      <c r="S105" s="173"/>
      <c r="T105" s="217"/>
      <c r="U105" s="215" t="str">
        <f t="shared" si="13"/>
        <v/>
      </c>
      <c r="V105" s="218"/>
      <c r="Y105" s="219" t="str">
        <f t="shared" si="14"/>
        <v/>
      </c>
    </row>
    <row r="106" spans="1:25">
      <c r="A106" s="57">
        <f t="shared" si="7"/>
        <v>96</v>
      </c>
      <c r="B106" s="175" t="str">
        <f>IF('G2 MT Reading Scoresheet'!B106&lt;&gt;"",'G2 MT Reading Scoresheet'!B106,"")</f>
        <v/>
      </c>
      <c r="C106" s="167" t="str">
        <f>IF('G2 MT Reading Scoresheet'!C106&lt;&gt;"",'G2 MT Reading Scoresheet'!C106,"")</f>
        <v/>
      </c>
      <c r="D106" s="168" t="str">
        <f>IF('G2 MT Reading Scoresheet'!D106&lt;&gt;"",'G2 MT Reading Scoresheet'!D106,"")</f>
        <v/>
      </c>
      <c r="E106" s="169" t="str">
        <f>IF('G2 MT Reading Scoresheet'!E106&lt;&gt;"",'G2 MT Reading Scoresheet'!E106,"")</f>
        <v/>
      </c>
      <c r="F106" s="172"/>
      <c r="G106" s="171"/>
      <c r="H106" s="174"/>
      <c r="I106" s="193" t="str">
        <f t="shared" si="8"/>
        <v/>
      </c>
      <c r="J106" s="194" t="str">
        <f t="shared" si="9"/>
        <v/>
      </c>
      <c r="K106" s="195"/>
      <c r="L106" s="196"/>
      <c r="M106" s="166" t="str">
        <f t="shared" si="10"/>
        <v/>
      </c>
      <c r="N106" s="174"/>
      <c r="O106" s="174"/>
      <c r="P106" s="166" t="str">
        <f t="shared" si="11"/>
        <v/>
      </c>
      <c r="Q106" s="213" t="str">
        <f t="shared" si="12"/>
        <v/>
      </c>
      <c r="R106" s="174"/>
      <c r="S106" s="174"/>
      <c r="T106" s="214"/>
      <c r="U106" s="215" t="str">
        <f t="shared" si="13"/>
        <v/>
      </c>
      <c r="V106" s="216"/>
      <c r="Y106" s="219" t="str">
        <f t="shared" si="14"/>
        <v/>
      </c>
    </row>
    <row r="107" spans="1:25">
      <c r="A107" s="165">
        <f t="shared" si="7"/>
        <v>97</v>
      </c>
      <c r="B107" s="175" t="str">
        <f>IF('G2 MT Reading Scoresheet'!B107&lt;&gt;"",'G2 MT Reading Scoresheet'!B107,"")</f>
        <v/>
      </c>
      <c r="C107" s="167" t="str">
        <f>IF('G2 MT Reading Scoresheet'!C107&lt;&gt;"",'G2 MT Reading Scoresheet'!C107,"")</f>
        <v/>
      </c>
      <c r="D107" s="168" t="str">
        <f>IF('G2 MT Reading Scoresheet'!D107&lt;&gt;"",'G2 MT Reading Scoresheet'!D107,"")</f>
        <v/>
      </c>
      <c r="E107" s="169" t="str">
        <f>IF('G2 MT Reading Scoresheet'!E107&lt;&gt;"",'G2 MT Reading Scoresheet'!E107,"")</f>
        <v/>
      </c>
      <c r="F107" s="170"/>
      <c r="G107" s="164"/>
      <c r="H107" s="173"/>
      <c r="I107" s="193" t="str">
        <f t="shared" si="8"/>
        <v/>
      </c>
      <c r="J107" s="194" t="str">
        <f t="shared" si="9"/>
        <v/>
      </c>
      <c r="K107" s="197"/>
      <c r="L107" s="198"/>
      <c r="M107" s="166" t="str">
        <f t="shared" si="10"/>
        <v/>
      </c>
      <c r="N107" s="173"/>
      <c r="O107" s="173"/>
      <c r="P107" s="166" t="str">
        <f t="shared" si="11"/>
        <v/>
      </c>
      <c r="Q107" s="213" t="str">
        <f t="shared" si="12"/>
        <v/>
      </c>
      <c r="R107" s="173"/>
      <c r="S107" s="173"/>
      <c r="T107" s="217"/>
      <c r="U107" s="215" t="str">
        <f t="shared" si="13"/>
        <v/>
      </c>
      <c r="V107" s="218"/>
      <c r="Y107" s="219" t="str">
        <f t="shared" si="14"/>
        <v/>
      </c>
    </row>
    <row r="108" spans="1:25">
      <c r="A108" s="57">
        <f t="shared" si="7"/>
        <v>98</v>
      </c>
      <c r="B108" s="175" t="str">
        <f>IF('G2 MT Reading Scoresheet'!B108&lt;&gt;"",'G2 MT Reading Scoresheet'!B108,"")</f>
        <v/>
      </c>
      <c r="C108" s="167" t="str">
        <f>IF('G2 MT Reading Scoresheet'!C108&lt;&gt;"",'G2 MT Reading Scoresheet'!C108,"")</f>
        <v/>
      </c>
      <c r="D108" s="168" t="str">
        <f>IF('G2 MT Reading Scoresheet'!D108&lt;&gt;"",'G2 MT Reading Scoresheet'!D108,"")</f>
        <v/>
      </c>
      <c r="E108" s="169" t="str">
        <f>IF('G2 MT Reading Scoresheet'!E108&lt;&gt;"",'G2 MT Reading Scoresheet'!E108,"")</f>
        <v/>
      </c>
      <c r="F108" s="172"/>
      <c r="G108" s="171"/>
      <c r="H108" s="174"/>
      <c r="I108" s="193" t="str">
        <f t="shared" si="8"/>
        <v/>
      </c>
      <c r="J108" s="194" t="str">
        <f t="shared" si="9"/>
        <v/>
      </c>
      <c r="K108" s="195"/>
      <c r="L108" s="196"/>
      <c r="M108" s="166" t="str">
        <f t="shared" si="10"/>
        <v/>
      </c>
      <c r="N108" s="174"/>
      <c r="O108" s="174"/>
      <c r="P108" s="166" t="str">
        <f t="shared" si="11"/>
        <v/>
      </c>
      <c r="Q108" s="213" t="str">
        <f t="shared" si="12"/>
        <v/>
      </c>
      <c r="R108" s="174"/>
      <c r="S108" s="174"/>
      <c r="T108" s="214"/>
      <c r="U108" s="215" t="str">
        <f t="shared" si="13"/>
        <v/>
      </c>
      <c r="V108" s="216"/>
      <c r="Y108" s="219" t="str">
        <f t="shared" si="14"/>
        <v/>
      </c>
    </row>
    <row r="109" spans="1:25">
      <c r="A109" s="165">
        <f t="shared" si="7"/>
        <v>99</v>
      </c>
      <c r="B109" s="175" t="str">
        <f>IF('G2 MT Reading Scoresheet'!B109&lt;&gt;"",'G2 MT Reading Scoresheet'!B109,"")</f>
        <v/>
      </c>
      <c r="C109" s="167" t="str">
        <f>IF('G2 MT Reading Scoresheet'!C109&lt;&gt;"",'G2 MT Reading Scoresheet'!C109,"")</f>
        <v/>
      </c>
      <c r="D109" s="168" t="str">
        <f>IF('G2 MT Reading Scoresheet'!D109&lt;&gt;"",'G2 MT Reading Scoresheet'!D109,"")</f>
        <v/>
      </c>
      <c r="E109" s="169" t="str">
        <f>IF('G2 MT Reading Scoresheet'!E109&lt;&gt;"",'G2 MT Reading Scoresheet'!E109,"")</f>
        <v/>
      </c>
      <c r="F109" s="170"/>
      <c r="G109" s="164"/>
      <c r="H109" s="173"/>
      <c r="I109" s="193" t="str">
        <f t="shared" si="8"/>
        <v/>
      </c>
      <c r="J109" s="194" t="str">
        <f t="shared" si="9"/>
        <v/>
      </c>
      <c r="K109" s="197"/>
      <c r="L109" s="198"/>
      <c r="M109" s="166" t="str">
        <f t="shared" si="10"/>
        <v/>
      </c>
      <c r="N109" s="173"/>
      <c r="O109" s="173"/>
      <c r="P109" s="166" t="str">
        <f t="shared" si="11"/>
        <v/>
      </c>
      <c r="Q109" s="213" t="str">
        <f t="shared" si="12"/>
        <v/>
      </c>
      <c r="R109" s="173"/>
      <c r="S109" s="173"/>
      <c r="T109" s="217"/>
      <c r="U109" s="215" t="str">
        <f t="shared" si="13"/>
        <v/>
      </c>
      <c r="V109" s="218"/>
      <c r="Y109" s="219" t="str">
        <f t="shared" si="14"/>
        <v/>
      </c>
    </row>
    <row r="110" spans="1:25">
      <c r="A110" s="220">
        <v>100</v>
      </c>
      <c r="B110" s="221" t="str">
        <f>IF('G2 MT Reading Scoresheet'!B110&lt;&gt;"",'G2 MT Reading Scoresheet'!B110,"")</f>
        <v/>
      </c>
      <c r="C110" s="222" t="str">
        <f>IF('G2 MT Reading Scoresheet'!C110&lt;&gt;"",'G2 MT Reading Scoresheet'!C110,"")</f>
        <v/>
      </c>
      <c r="D110" s="223" t="str">
        <f>IF('G2 MT Reading Scoresheet'!D110&lt;&gt;"",'G2 MT Reading Scoresheet'!D110,"")</f>
        <v/>
      </c>
      <c r="E110" s="224" t="str">
        <f>IF('G2 MT Reading Scoresheet'!E110&lt;&gt;"",'G2 MT Reading Scoresheet'!E110,"")</f>
        <v/>
      </c>
      <c r="F110" s="225"/>
      <c r="G110" s="226"/>
      <c r="H110" s="227"/>
      <c r="I110" s="228" t="str">
        <f t="shared" si="8"/>
        <v/>
      </c>
      <c r="J110" s="229" t="str">
        <f t="shared" si="9"/>
        <v/>
      </c>
      <c r="K110" s="230"/>
      <c r="L110" s="231"/>
      <c r="M110" s="232" t="str">
        <f t="shared" si="10"/>
        <v/>
      </c>
      <c r="N110" s="227"/>
      <c r="O110" s="227"/>
      <c r="P110" s="232" t="str">
        <f t="shared" si="11"/>
        <v/>
      </c>
      <c r="Q110" s="233" t="str">
        <f t="shared" si="12"/>
        <v/>
      </c>
      <c r="R110" s="227"/>
      <c r="S110" s="227"/>
      <c r="T110" s="234"/>
      <c r="U110" s="235" t="str">
        <f t="shared" si="13"/>
        <v/>
      </c>
      <c r="V110" s="236"/>
      <c r="Y110" s="219" t="str">
        <f t="shared" si="14"/>
        <v/>
      </c>
    </row>
    <row r="111" spans="1:25"/>
    <row r="112" spans="1:25"/>
    <row r="113"/>
    <row r="114"/>
    <row r="115"/>
  </sheetData>
  <sheetProtection algorithmName="SHA-512" hashValue="twdUbG/ZJDgQLI8EWTQQZHnRjdA3qaV8YhCwSROJ1DwHm6rk8LBQwGN0XjOEhX6H3ESt2KZWblSEpA+En3avmg==" saltValue="jYnEPkCrmYUSvgicQKn0vw==" spinCount="100000" sheet="1" objects="1" scenarios="1" formatColumns="0" formatRows="0" selectLockedCells="1" autoFilter="0"/>
  <autoFilter ref="B10:U110" xr:uid="{00000000-0009-0000-0000-000001000000}"/>
  <mergeCells count="26">
    <mergeCell ref="P8:P9"/>
    <mergeCell ref="N8:O9"/>
    <mergeCell ref="K5:P6"/>
    <mergeCell ref="Q6:T9"/>
    <mergeCell ref="U6:V9"/>
    <mergeCell ref="A9:B9"/>
    <mergeCell ref="N10:O10"/>
    <mergeCell ref="F7:F9"/>
    <mergeCell ref="G7:G9"/>
    <mergeCell ref="H7:H9"/>
    <mergeCell ref="I7:I9"/>
    <mergeCell ref="J5:J9"/>
    <mergeCell ref="K8:K9"/>
    <mergeCell ref="L8:L9"/>
    <mergeCell ref="M8:M9"/>
    <mergeCell ref="F5:I6"/>
    <mergeCell ref="A6:B6"/>
    <mergeCell ref="A7:B7"/>
    <mergeCell ref="D7:E7"/>
    <mergeCell ref="N7:O7"/>
    <mergeCell ref="A8:B8"/>
    <mergeCell ref="A3:B3"/>
    <mergeCell ref="A4:B4"/>
    <mergeCell ref="D4:E4"/>
    <mergeCell ref="G4:H4"/>
    <mergeCell ref="A5:B5"/>
  </mergeCells>
  <conditionalFormatting sqref="C5">
    <cfRule type="containsText" dxfId="22" priority="8" operator="containsText" text="[enter school school id here]">
      <formula>NOT(ISERROR(SEARCH("[enter school school id here]",C5)))</formula>
    </cfRule>
  </conditionalFormatting>
  <conditionalFormatting sqref="C6">
    <cfRule type="containsText" dxfId="21" priority="9" operator="containsText" text="[enter teacher name here]">
      <formula>NOT(ISERROR(SEARCH("[enter teacher name here]",C6)))</formula>
    </cfRule>
  </conditionalFormatting>
  <conditionalFormatting sqref="C9">
    <cfRule type="containsText" dxfId="20" priority="7" operator="containsText" text="[choose language here]">
      <formula>NOT(ISERROR(SEARCH("[choose language here]",C9)))</formula>
    </cfRule>
  </conditionalFormatting>
  <conditionalFormatting sqref="D9:E9">
    <cfRule type="expression" dxfId="19" priority="10">
      <formula>$X$9=1</formula>
    </cfRule>
  </conditionalFormatting>
  <conditionalFormatting sqref="G11:G110">
    <cfRule type="expression" dxfId="18" priority="14">
      <formula>$F11&gt;6</formula>
    </cfRule>
  </conditionalFormatting>
  <conditionalFormatting sqref="H11:H110">
    <cfRule type="expression" dxfId="17" priority="13">
      <formula>$F11&lt;7</formula>
    </cfRule>
  </conditionalFormatting>
  <conditionalFormatting sqref="I4">
    <cfRule type="cellIs" dxfId="16" priority="15" operator="notEqual">
      <formula>$F$4</formula>
    </cfRule>
    <cfRule type="cellIs" dxfId="15" priority="19" operator="lessThan">
      <formula>#REF!+#REF!</formula>
    </cfRule>
    <cfRule type="cellIs" dxfId="14" priority="20" operator="lessThan">
      <formula>#REF!+#REF!</formula>
    </cfRule>
  </conditionalFormatting>
  <conditionalFormatting sqref="J11:J110">
    <cfRule type="containsText" dxfId="13" priority="4" operator="containsText" text="Full">
      <formula>NOT(ISERROR(SEARCH("Full",J11)))</formula>
    </cfRule>
  </conditionalFormatting>
  <conditionalFormatting sqref="K11:T30 K31:K35 M31:T35 K36:T110">
    <cfRule type="expression" dxfId="12" priority="11">
      <formula>$J11="Full Refresher"</formula>
    </cfRule>
  </conditionalFormatting>
  <conditionalFormatting sqref="L31:L35">
    <cfRule type="expression" dxfId="11" priority="1">
      <formula>$J31="Full Refresher"</formula>
    </cfRule>
  </conditionalFormatting>
  <conditionalFormatting sqref="U11:U110">
    <cfRule type="containsText" dxfId="10" priority="2" operator="containsText" text="Grade Level">
      <formula>NOT(ISERROR(SEARCH("Grade Level",U11)))</formula>
    </cfRule>
    <cfRule type="containsText" dxfId="9" priority="3" operator="containsText" text="Emerging">
      <formula>NOT(ISERROR(SEARCH("Emerging",U11)))</formula>
    </cfRule>
    <cfRule type="expression" dxfId="8" priority="12">
      <formula>AND($J11="Grade Ready",#REF!="Full Intervention")</formula>
    </cfRule>
  </conditionalFormatting>
  <dataValidations count="20">
    <dataValidation type="whole" allowBlank="1" showInputMessage="1" showErrorMessage="1" error="Enter the 6-digit School ID" sqref="C4 A5" xr:uid="{00000000-0002-0000-0100-000000000000}">
      <formula1>100000</formula1>
      <formula2>999999</formula2>
    </dataValidation>
    <dataValidation allowBlank="1" showInputMessage="1" showErrorMessage="1" prompt="Choose Language here" sqref="G4 C9" xr:uid="{00000000-0002-0000-0100-000001000000}"/>
    <dataValidation allowBlank="1" showInputMessage="1" showErrorMessage="1" sqref="I4" xr:uid="{00000000-0002-0000-0100-000002000000}"/>
    <dataValidation type="textLength" operator="greaterThan" showInputMessage="1" showErrorMessage="1" error="Enter School Name" sqref="C5" xr:uid="{00000000-0002-0000-0100-000003000000}">
      <formula1>5</formula1>
    </dataValidation>
    <dataValidation type="whole" allowBlank="1" showInputMessage="1" showErrorMessage="1" sqref="D6:E6" xr:uid="{00000000-0002-0000-0100-000004000000}">
      <formula1>0</formula1>
      <formula2>100</formula2>
    </dataValidation>
    <dataValidation allowBlank="1" showInputMessage="1" showErrorMessage="1" error="Total Words per Story must be between 94 to 96" sqref="D9:E9" xr:uid="{00000000-0002-0000-0100-000005000000}"/>
    <dataValidation allowBlank="1" showInputMessage="1" showErrorMessage="1" error="Enter Level between 1 to 4" sqref="U11:V11 U12:U110" xr:uid="{00000000-0002-0000-0100-000006000000}"/>
    <dataValidation type="list" allowBlank="1" showInputMessage="1" showErrorMessage="1" sqref="D12:D110" xr:uid="{00000000-0002-0000-0100-000007000000}">
      <formula1>"Male, Female"</formula1>
    </dataValidation>
    <dataValidation type="date" errorStyle="warning" allowBlank="1" showInputMessage="1" showErrorMessage="1" error="Enter the Date of Assessment in Correct Format (mm/dd/yy)" sqref="E12:E110" xr:uid="{00000000-0002-0000-0100-000008000000}">
      <formula1>44197</formula1>
      <formula2>55153</formula2>
    </dataValidation>
    <dataValidation type="whole" allowBlank="1" showInputMessage="1" showErrorMessage="1" error="Enter Score between 0 to 10" sqref="F11:F110" xr:uid="{00000000-0002-0000-0100-000009000000}">
      <formula1>0</formula1>
      <formula2>10</formula2>
    </dataValidation>
    <dataValidation type="custom" allowBlank="1" showInputMessage="1" showErrorMessage="1" errorTitle="Error Message" error="Enter value less than equal to 10_x000a_If Task 1 score is greater than 6, Words should be left blank or empty." sqref="G11:G110" xr:uid="{00000000-0002-0000-0100-00000A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100-00000B000000}">
      <formula1>AND($F11&gt;6,$H11&lt;11)</formula1>
    </dataValidation>
    <dataValidation type="whole" allowBlank="1" showInputMessage="1" showErrorMessage="1" error="Story 1 or 2" sqref="K11:K110" xr:uid="{00000000-0002-0000-0100-00000C000000}">
      <formula1>1</formula1>
      <formula2>2</formula2>
    </dataValidation>
    <dataValidation type="whole" allowBlank="1" showInputMessage="1" showErrorMessage="1" error="Enter Number of Miscue" sqref="L11:L110" xr:uid="{00000000-0002-0000-0100-00000D000000}">
      <formula1>0</formula1>
      <formula2>96</formula2>
    </dataValidation>
    <dataValidation allowBlank="1" showInputMessage="1" showErrorMessage="1" errorTitle="Error Message" error="Total Number of Words must be less than or equal to 96" sqref="M11:M110" xr:uid="{00000000-0002-0000-0100-00000E000000}"/>
    <dataValidation type="whole" allowBlank="1" showInputMessage="1" showErrorMessage="1" errorTitle="Error Message" error="Must not exceed 2 minutes" sqref="N11:N110" xr:uid="{00000000-0002-0000-0100-00000F000000}">
      <formula1>0</formula1>
      <formula2>2</formula2>
    </dataValidation>
    <dataValidation type="whole" allowBlank="1" showInputMessage="1" showErrorMessage="1" errorTitle="Error Message" error="Number of seconds between 0 to 59" sqref="O11:O110" xr:uid="{00000000-0002-0000-0100-000010000000}">
      <formula1>0</formula1>
      <formula2>59</formula2>
    </dataValidation>
    <dataValidation type="whole" allowBlank="1" showInputMessage="1" showErrorMessage="1" error="Enter Answer between 0 to 6" sqref="R11:R110" xr:uid="{00000000-0002-0000-0100-000011000000}">
      <formula1>0</formula1>
      <formula2>6</formula2>
    </dataValidation>
    <dataValidation type="whole" allowBlank="1" showInputMessage="1" showErrorMessage="1" error="Enter Leaner Experience from 1 - 5" sqref="S11:S110" xr:uid="{00000000-0002-0000-0100-000012000000}">
      <formula1>1</formula1>
      <formula2>5</formula2>
    </dataValidation>
    <dataValidation type="list" allowBlank="1" showInputMessage="1" showErrorMessage="1" error="Enter Level between 1 to 4" sqref="T11:T110" xr:uid="{00000000-0002-0000-0100-000013000000}">
      <formula1>"Level 1, Level 2, Level 3, Level 4"</formula1>
    </dataValidation>
  </dataValidations>
  <pageMargins left="0.25" right="0.25" top="1.1299999999999999" bottom="3.69" header="0.3" footer="0.3"/>
  <pageSetup paperSize="256" scale="5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R108"/>
  <sheetViews>
    <sheetView tabSelected="1" zoomScale="70" zoomScaleNormal="70" workbookViewId="0">
      <pane xSplit="3" ySplit="8" topLeftCell="D9" activePane="bottomRight" state="frozen"/>
      <selection pane="bottomRight" activeCell="C1" sqref="C1"/>
      <selection pane="bottomLeft"/>
      <selection pane="topRight"/>
    </sheetView>
  </sheetViews>
  <sheetFormatPr defaultColWidth="8.875" defaultRowHeight="14.45"/>
  <cols>
    <col min="1" max="1" width="5.5" customWidth="1"/>
    <col min="2" max="2" width="14.875" customWidth="1"/>
    <col min="3" max="3" width="30.875" customWidth="1"/>
    <col min="4" max="4" width="10.125" style="1" customWidth="1"/>
    <col min="5" max="5" width="20.125" style="99" customWidth="1"/>
    <col min="6" max="6" width="10" style="99" customWidth="1"/>
    <col min="7" max="7" width="9.5" style="99" customWidth="1"/>
    <col min="8" max="8" width="13.5" style="99" customWidth="1"/>
    <col min="9" max="9" width="9.5" style="99" customWidth="1"/>
    <col min="10" max="10" width="25.875" style="1" customWidth="1"/>
    <col min="11" max="11" width="19" style="99" customWidth="1"/>
    <col min="12" max="12" width="9.125" style="99" customWidth="1"/>
    <col min="13" max="13" width="8.875" style="99" customWidth="1"/>
    <col min="14" max="14" width="14.5" style="99" customWidth="1"/>
    <col min="15" max="15" width="8.375" style="99" customWidth="1"/>
    <col min="16" max="16" width="25.875" style="1" customWidth="1"/>
    <col min="17" max="17" width="40.375" style="1" customWidth="1"/>
    <col min="18" max="18" width="5.125" customWidth="1"/>
    <col min="19" max="22" width="8.875" customWidth="1"/>
    <col min="23" max="24" width="13.625" customWidth="1"/>
    <col min="25" max="25" width="8.875" customWidth="1"/>
    <col min="26" max="29" width="13.625" customWidth="1"/>
  </cols>
  <sheetData>
    <row r="1" spans="1:18">
      <c r="A1" t="s">
        <v>75</v>
      </c>
    </row>
    <row r="2" spans="1:18" ht="18" customHeight="1"/>
    <row r="4" spans="1:18" ht="26.1" customHeight="1"/>
    <row r="5" spans="1:18" s="98" customFormat="1" ht="17.45" customHeight="1">
      <c r="A5" s="268" t="s">
        <v>76</v>
      </c>
      <c r="B5" s="269"/>
      <c r="C5" s="270" t="str">
        <f>'G2 MT Reading Scoresheet'!$C$5</f>
        <v>ROMANA ELEMETARY SCHOOL</v>
      </c>
      <c r="D5" s="270"/>
      <c r="E5" s="271" t="s">
        <v>77</v>
      </c>
      <c r="F5" s="271"/>
      <c r="G5" s="271"/>
      <c r="H5" s="271"/>
      <c r="I5" s="271"/>
      <c r="J5" s="271"/>
      <c r="K5" s="271"/>
      <c r="L5" s="271"/>
      <c r="M5" s="271"/>
      <c r="N5" s="271"/>
      <c r="O5" s="271"/>
      <c r="P5" s="271"/>
      <c r="Q5" s="272"/>
    </row>
    <row r="6" spans="1:18" s="98" customFormat="1" ht="18" customHeight="1">
      <c r="A6" s="273" t="s">
        <v>13</v>
      </c>
      <c r="B6" s="274"/>
      <c r="C6" s="275" t="str">
        <f>'G2 MT Reading Scoresheet'!C6</f>
        <v>MARICAR F. JOAQUIN</v>
      </c>
      <c r="D6" s="275"/>
      <c r="E6" s="276" t="str">
        <f>CONCATENATE("MOTHER TONGUE","(",'G2 MT Reading Scoresheet'!C9,")")</f>
        <v>MOTHER TONGUE(Hiligaynon)</v>
      </c>
      <c r="F6" s="276"/>
      <c r="G6" s="276"/>
      <c r="H6" s="276"/>
      <c r="I6" s="276"/>
      <c r="J6" s="276"/>
      <c r="K6" s="277" t="s">
        <v>78</v>
      </c>
      <c r="L6" s="277"/>
      <c r="M6" s="277"/>
      <c r="N6" s="277"/>
      <c r="O6" s="277"/>
      <c r="P6" s="277"/>
      <c r="Q6" s="282" t="s">
        <v>53</v>
      </c>
    </row>
    <row r="7" spans="1:18" s="98" customFormat="1" ht="18" customHeight="1">
      <c r="A7" s="273" t="s">
        <v>15</v>
      </c>
      <c r="B7" s="274"/>
      <c r="C7" s="275" t="s">
        <v>79</v>
      </c>
      <c r="D7" s="275"/>
      <c r="E7" s="283" t="s">
        <v>80</v>
      </c>
      <c r="F7" s="283"/>
      <c r="G7" s="283" t="s">
        <v>81</v>
      </c>
      <c r="H7" s="283"/>
      <c r="I7" s="283"/>
      <c r="J7" s="281" t="s">
        <v>52</v>
      </c>
      <c r="K7" s="284" t="s">
        <v>80</v>
      </c>
      <c r="L7" s="284"/>
      <c r="M7" s="278" t="s">
        <v>81</v>
      </c>
      <c r="N7" s="279"/>
      <c r="O7" s="280"/>
      <c r="P7" s="117"/>
      <c r="Q7" s="282"/>
    </row>
    <row r="8" spans="1:18" s="98" customFormat="1" ht="34.35" customHeight="1">
      <c r="A8" s="101" t="s">
        <v>33</v>
      </c>
      <c r="B8" s="102" t="s">
        <v>34</v>
      </c>
      <c r="C8" s="103" t="s">
        <v>35</v>
      </c>
      <c r="D8" s="104" t="s">
        <v>36</v>
      </c>
      <c r="E8" s="100" t="s">
        <v>82</v>
      </c>
      <c r="F8" s="100" t="s">
        <v>83</v>
      </c>
      <c r="G8" s="100" t="s">
        <v>84</v>
      </c>
      <c r="H8" s="105" t="s">
        <v>85</v>
      </c>
      <c r="I8" s="105" t="s">
        <v>86</v>
      </c>
      <c r="J8" s="281"/>
      <c r="K8" s="116" t="s">
        <v>82</v>
      </c>
      <c r="L8" s="118" t="s">
        <v>83</v>
      </c>
      <c r="M8" s="118" t="s">
        <v>84</v>
      </c>
      <c r="N8" s="118" t="s">
        <v>85</v>
      </c>
      <c r="O8" s="118" t="s">
        <v>86</v>
      </c>
      <c r="P8" s="119" t="s">
        <v>52</v>
      </c>
      <c r="Q8" s="282"/>
    </row>
    <row r="9" spans="1:18">
      <c r="A9" s="106">
        <v>1</v>
      </c>
      <c r="B9" s="107">
        <f>IF('G2 MT Reading Scoresheet'!B11&lt;&gt;"",'G2 MT Reading Scoresheet'!B11,"")</f>
        <v>117443230001</v>
      </c>
      <c r="C9" s="108" t="str">
        <f>IF('G2 MT Reading Scoresheet'!C11&lt;&gt;"",'G2 MT Reading Scoresheet'!C11,"")</f>
        <v>BARGASA, REY JOHN V.</v>
      </c>
      <c r="D9" s="109" t="str">
        <f>IF('G2 MT Reading Scoresheet'!D11&lt;&gt;"",'G2 MT Reading Scoresheet'!D11,"")</f>
        <v>Male</v>
      </c>
      <c r="E9" s="110" t="str">
        <f>'G2 MT Reading Scoresheet'!$J11</f>
        <v>Grade Ready</v>
      </c>
      <c r="F9" s="111">
        <f>IF(C9&lt;&gt;"",'G2 MT Reading Scoresheet'!$I11/30,"")</f>
        <v>0.96666666666666667</v>
      </c>
      <c r="G9" s="111">
        <f>IF(AND($C9&lt;&gt;"",$E9&lt;&gt;"Full Refresher"),'G2 MT Reading Scoresheet'!$Q11,"")</f>
        <v>0.79166666666666663</v>
      </c>
      <c r="H9" s="111">
        <f>IF(AND(C9&lt;&gt;"",E9&lt;&gt;"Full Refresher"),'G2 MT Reading Scoresheet'!$R11/6,"")</f>
        <v>0.66666666666666663</v>
      </c>
      <c r="I9" s="110">
        <f>IF(AND(C9&lt;&gt;"",F9&lt;&gt;"Full Refresher"),'G2 MT Reading Scoresheet'!$P11,"")</f>
        <v>38</v>
      </c>
      <c r="J9" s="120" t="str">
        <f>'G2 MT Reading Scoresheet'!$U11</f>
        <v>Transitioning Reader</v>
      </c>
      <c r="K9" s="121" t="str">
        <f>'G2 FIL Reading Scoresheet'!$J11</f>
        <v>Grade Ready</v>
      </c>
      <c r="L9" s="122">
        <f>IF($C9&lt;&gt;"",'G2 FIL Reading Scoresheet'!$I11/30,"")</f>
        <v>0.96666666666666667</v>
      </c>
      <c r="M9" s="122">
        <f>IF(AND($C9&lt;&gt;"",$K9&lt;&gt;"Full Refresher"),'G2 FIL Reading Scoresheet'!$Q11,"")</f>
        <v>0.73684210526315785</v>
      </c>
      <c r="N9" s="122">
        <f>IF(AND($C9&lt;&gt;"",K9&lt;&gt;"Full Refresher"),'G2 FIL Reading Scoresheet'!$R11/6,"")</f>
        <v>0.66666666666666663</v>
      </c>
      <c r="O9" s="121">
        <f>IF(AND(C9&lt;&gt;"",K9&lt;&gt;"Full Refresher"),'G2 FIL Reading Scoresheet'!$P11,"")</f>
        <v>35</v>
      </c>
      <c r="P9" s="123" t="str">
        <f>'G2 FIL Reading Scoresheet'!$U11</f>
        <v>Transitioning Reader</v>
      </c>
      <c r="Q9" s="126" t="str">
        <f>CONCATENATE(IF(ISBLANK('G2 MT Reading Scoresheet'!V11),"",CONCATENATE("MT:",TRIM('G2 MT Reading Scoresheet'!V11)))," ",IF(ISBLANK('G2 FIL Reading Scoresheet'!V11),"",CONCATENATE("FIL:",TRIM('G2 FIL Reading Scoresheet'!V11))))</f>
        <v/>
      </c>
      <c r="R9" t="s">
        <v>75</v>
      </c>
    </row>
    <row r="10" spans="1:18" ht="13.7" customHeight="1">
      <c r="A10" s="112">
        <v>2</v>
      </c>
      <c r="B10" s="113">
        <f>IF('G2 MT Reading Scoresheet'!B12&lt;&gt;"",'G2 MT Reading Scoresheet'!B12,"")</f>
        <v>117443240001</v>
      </c>
      <c r="C10" s="114" t="str">
        <f>IF('G2 MT Reading Scoresheet'!C12&lt;&gt;"",'G2 MT Reading Scoresheet'!C12,"")</f>
        <v xml:space="preserve">BESANES, ZANDER G. </v>
      </c>
      <c r="D10" s="115" t="str">
        <f>IF('G2 MT Reading Scoresheet'!D12&lt;&gt;"",'G2 MT Reading Scoresheet'!D12,"")</f>
        <v>Male</v>
      </c>
      <c r="E10" s="110" t="str">
        <f>'G2 MT Reading Scoresheet'!$J12</f>
        <v>Full Refresher</v>
      </c>
      <c r="F10" s="111">
        <f>IF(C10&lt;&gt;"",'G2 MT Reading Scoresheet'!$I12/30,"")</f>
        <v>3.3333333333333333E-2</v>
      </c>
      <c r="G10" s="111" t="str">
        <f>IF(AND($C10&lt;&gt;"",$E10&lt;&gt;"Full Refresher"),'G2 MT Reading Scoresheet'!$Q12,"")</f>
        <v/>
      </c>
      <c r="H10" s="111" t="str">
        <f>IF(AND(C10&lt;&gt;"",E10&lt;&gt;"Full Refresher"),'G2 MT Reading Scoresheet'!$R12/6,"")</f>
        <v/>
      </c>
      <c r="I10" s="110" t="str">
        <f>IF(AND(D10&lt;&gt;"",F10&lt;&gt;"Full Refresher"),'G2 MT Reading Scoresheet'!$P12,"")</f>
        <v/>
      </c>
      <c r="J10" s="124" t="str">
        <f>'G2 MT Reading Scoresheet'!$U12</f>
        <v>Low Emerging Reader</v>
      </c>
      <c r="K10" s="121" t="str">
        <f>'G2 FIL Reading Scoresheet'!$J12</f>
        <v>Full Refresher</v>
      </c>
      <c r="L10" s="122">
        <f>IF($C10&lt;&gt;"",'G2 FIL Reading Scoresheet'!$I12/30,"")</f>
        <v>6.6666666666666666E-2</v>
      </c>
      <c r="M10" s="122" t="str">
        <f>IF(AND($C10&lt;&gt;"",$K10&lt;&gt;"Full Refresher"),'G2 FIL Reading Scoresheet'!$Q12,"")</f>
        <v/>
      </c>
      <c r="N10" s="122" t="str">
        <f>IF(AND($C10&lt;&gt;"",K10&lt;&gt;"Full Refresher"),'G2 FIL Reading Scoresheet'!$R12/6,"")</f>
        <v/>
      </c>
      <c r="O10" s="121" t="str">
        <f>IF(AND(C10&lt;&gt;"",K10&lt;&gt;"Full Refresher"),'G2 FIL Reading Scoresheet'!$P12,"")</f>
        <v/>
      </c>
      <c r="P10" s="125" t="str">
        <f>'G2 FIL Reading Scoresheet'!$U12</f>
        <v>Low Emerging Reader</v>
      </c>
      <c r="Q10" s="127" t="str">
        <f>CONCATENATE(IF(ISBLANK('G2 MT Reading Scoresheet'!V12),"",CONCATENATE("MT:",TRIM('G2 MT Reading Scoresheet'!V12)))," ",IF(ISBLANK('G2 FIL Reading Scoresheet'!V12),"",CONCATENATE("FIL:",TRIM('G2 FIL Reading Scoresheet'!V12))))</f>
        <v/>
      </c>
    </row>
    <row r="11" spans="1:18">
      <c r="A11" s="106">
        <v>3</v>
      </c>
      <c r="B11" s="107">
        <f>IF('G2 MT Reading Scoresheet'!B13&lt;&gt;"",'G2 MT Reading Scoresheet'!B13,"")</f>
        <v>117443230003</v>
      </c>
      <c r="C11" s="108" t="str">
        <f>IF('G2 MT Reading Scoresheet'!C13&lt;&gt;"",'G2 MT Reading Scoresheet'!C13,"")</f>
        <v xml:space="preserve">BERIZAL, KENT ANGELO C. </v>
      </c>
      <c r="D11" s="109" t="str">
        <f>IF('G2 MT Reading Scoresheet'!D13&lt;&gt;"",'G2 MT Reading Scoresheet'!D13,"")</f>
        <v>Male</v>
      </c>
      <c r="E11" s="110" t="str">
        <f>'G2 MT Reading Scoresheet'!$J13</f>
        <v>Grade Ready</v>
      </c>
      <c r="F11" s="111">
        <f>IF(C11&lt;&gt;"",'G2 MT Reading Scoresheet'!$I13/30,"")</f>
        <v>0.96666666666666667</v>
      </c>
      <c r="G11" s="111">
        <f>IF(AND($C11&lt;&gt;"",$E11&lt;&gt;"Full Refresher"),'G2 MT Reading Scoresheet'!$Q13,"")</f>
        <v>0.79166666666666663</v>
      </c>
      <c r="H11" s="111">
        <f>IF(AND(C11&lt;&gt;"",E11&lt;&gt;"Full Refresher"),'G2 MT Reading Scoresheet'!$R13/6,"")</f>
        <v>0.66666666666666663</v>
      </c>
      <c r="I11" s="110">
        <f>IF(AND(D11&lt;&gt;"",F11&lt;&gt;"Full Refresher"),'G2 MT Reading Scoresheet'!$P13,"")</f>
        <v>38</v>
      </c>
      <c r="J11" s="124" t="str">
        <f>'G2 MT Reading Scoresheet'!$U13</f>
        <v>Transitioning Reader</v>
      </c>
      <c r="K11" s="121" t="str">
        <f>'G2 FIL Reading Scoresheet'!$J13</f>
        <v>Grade Ready</v>
      </c>
      <c r="L11" s="122">
        <f>IF($C11&lt;&gt;"",'G2 FIL Reading Scoresheet'!$I13/30,"")</f>
        <v>1</v>
      </c>
      <c r="M11" s="122">
        <f>IF(AND($C11&lt;&gt;"",$K11&lt;&gt;"Full Refresher"),'G2 FIL Reading Scoresheet'!$Q13,"")</f>
        <v>0.73684210526315785</v>
      </c>
      <c r="N11" s="122">
        <f>IF(AND($C11&lt;&gt;"",K11&lt;&gt;"Full Refresher"),'G2 FIL Reading Scoresheet'!$R13/6,"")</f>
        <v>0.66666666666666663</v>
      </c>
      <c r="O11" s="121">
        <f>IF(AND(C11&lt;&gt;"",K11&lt;&gt;"Full Refresher"),'G2 FIL Reading Scoresheet'!$P13,"")</f>
        <v>35</v>
      </c>
      <c r="P11" s="125" t="str">
        <f>'G2 FIL Reading Scoresheet'!$U13</f>
        <v>Transitioning Reader</v>
      </c>
      <c r="Q11" s="126" t="str">
        <f>CONCATENATE(IF(ISBLANK('G2 MT Reading Scoresheet'!V13),"",CONCATENATE("MT:",TRIM('G2 MT Reading Scoresheet'!V13)))," ",IF(ISBLANK('G2 FIL Reading Scoresheet'!V13),"",CONCATENATE("FIL:",TRIM('G2 FIL Reading Scoresheet'!V13))))</f>
        <v/>
      </c>
    </row>
    <row r="12" spans="1:18">
      <c r="A12" s="112">
        <v>4</v>
      </c>
      <c r="B12" s="113">
        <f>IF('G2 MT Reading Scoresheet'!B14&lt;&gt;"",'G2 MT Reading Scoresheet'!B14,"")</f>
        <v>117443230005</v>
      </c>
      <c r="C12" s="114" t="str">
        <f>IF('G2 MT Reading Scoresheet'!C14&lt;&gt;"",'G2 MT Reading Scoresheet'!C14,"")</f>
        <v xml:space="preserve">DARAS, REYNASH R. </v>
      </c>
      <c r="D12" s="115" t="str">
        <f>IF('G2 MT Reading Scoresheet'!D14&lt;&gt;"",'G2 MT Reading Scoresheet'!D14,"")</f>
        <v>Male</v>
      </c>
      <c r="E12" s="110" t="str">
        <f>'G2 MT Reading Scoresheet'!$J14</f>
        <v>Grade Ready</v>
      </c>
      <c r="F12" s="111">
        <f>IF(C12&lt;&gt;"",'G2 MT Reading Scoresheet'!$I14/30,"")</f>
        <v>0.96666666666666667</v>
      </c>
      <c r="G12" s="111">
        <f>IF(AND($C12&lt;&gt;"",$E12&lt;&gt;"Full Refresher"),'G2 MT Reading Scoresheet'!$Q14,"")</f>
        <v>0.95833333333333337</v>
      </c>
      <c r="H12" s="111">
        <f>IF(AND(C12&lt;&gt;"",E12&lt;&gt;"Full Refresher"),'G2 MT Reading Scoresheet'!$R14/6,"")</f>
        <v>0.66666666666666663</v>
      </c>
      <c r="I12" s="110">
        <f>IF(AND(D12&lt;&gt;"",F12&lt;&gt;"Full Refresher"),'G2 MT Reading Scoresheet'!$P14,"")</f>
        <v>46</v>
      </c>
      <c r="J12" s="124" t="str">
        <f>'G2 MT Reading Scoresheet'!$U14</f>
        <v>Transitioning Reader</v>
      </c>
      <c r="K12" s="121" t="str">
        <f>'G2 FIL Reading Scoresheet'!$J14</f>
        <v>Grade Ready</v>
      </c>
      <c r="L12" s="122">
        <f>IF($C12&lt;&gt;"",'G2 FIL Reading Scoresheet'!$I14/30,"")</f>
        <v>0.96666666666666667</v>
      </c>
      <c r="M12" s="122">
        <f>IF(AND($C12&lt;&gt;"",$K12&lt;&gt;"Full Refresher"),'G2 FIL Reading Scoresheet'!$Q14,"")</f>
        <v>0.87368421052631584</v>
      </c>
      <c r="N12" s="122">
        <f>IF(AND($C12&lt;&gt;"",K12&lt;&gt;"Full Refresher"),'G2 FIL Reading Scoresheet'!$R14/6,"")</f>
        <v>0.33333333333333331</v>
      </c>
      <c r="O12" s="121">
        <f>IF(AND(C12&lt;&gt;"",K12&lt;&gt;"Full Refresher"),'G2 FIL Reading Scoresheet'!$P14,"")</f>
        <v>41.5</v>
      </c>
      <c r="P12" s="125" t="str">
        <f>'G2 FIL Reading Scoresheet'!$U14</f>
        <v>Transitioning Reader</v>
      </c>
      <c r="Q12" s="127" t="str">
        <f>CONCATENATE(IF(ISBLANK('G2 MT Reading Scoresheet'!V14),"",CONCATENATE("MT:",TRIM('G2 MT Reading Scoresheet'!V14)))," ",IF(ISBLANK('G2 FIL Reading Scoresheet'!V14),"",CONCATENATE("FIL:",TRIM('G2 FIL Reading Scoresheet'!V14))))</f>
        <v/>
      </c>
    </row>
    <row r="13" spans="1:18">
      <c r="A13" s="106">
        <v>5</v>
      </c>
      <c r="B13" s="107">
        <f>IF('G2 MT Reading Scoresheet'!B15&lt;&gt;"",'G2 MT Reading Scoresheet'!B15,"")</f>
        <v>117443230014</v>
      </c>
      <c r="C13" s="108" t="str">
        <f>IF('G2 MT Reading Scoresheet'!C15&lt;&gt;"",'G2 MT Reading Scoresheet'!C15,"")</f>
        <v>ORTILANO, KLENT Y.</v>
      </c>
      <c r="D13" s="109" t="str">
        <f>IF('G2 MT Reading Scoresheet'!D15&lt;&gt;"",'G2 MT Reading Scoresheet'!D15,"")</f>
        <v>Male</v>
      </c>
      <c r="E13" s="110" t="str">
        <f>'G2 MT Reading Scoresheet'!$J15</f>
        <v>Grade Ready</v>
      </c>
      <c r="F13" s="111">
        <f>IF(C13&lt;&gt;"",'G2 MT Reading Scoresheet'!$I15/30,"")</f>
        <v>1</v>
      </c>
      <c r="G13" s="111">
        <f>IF(AND($C13&lt;&gt;"",$E13&lt;&gt;"Full Refresher"),'G2 MT Reading Scoresheet'!$Q15,"")</f>
        <v>0.95744680851063835</v>
      </c>
      <c r="H13" s="111">
        <f>IF(AND(C13&lt;&gt;"",E13&lt;&gt;"Full Refresher"),'G2 MT Reading Scoresheet'!$R15/6,"")</f>
        <v>0.83333333333333337</v>
      </c>
      <c r="I13" s="110">
        <f>IF(AND(D13&lt;&gt;"",F13&lt;&gt;"Full Refresher"),'G2 MT Reading Scoresheet'!$P15,"")</f>
        <v>45</v>
      </c>
      <c r="J13" s="124" t="str">
        <f>'G2 MT Reading Scoresheet'!$U15</f>
        <v>Reading At Grade Level</v>
      </c>
      <c r="K13" s="121" t="str">
        <f>'G2 FIL Reading Scoresheet'!$J15</f>
        <v>Grade Ready</v>
      </c>
      <c r="L13" s="122">
        <f>IF($C13&lt;&gt;"",'G2 FIL Reading Scoresheet'!$I15/30,"")</f>
        <v>1</v>
      </c>
      <c r="M13" s="122">
        <f>IF(AND($C13&lt;&gt;"",$K13&lt;&gt;"Full Refresher"),'G2 FIL Reading Scoresheet'!$Q15,"")</f>
        <v>0.9375</v>
      </c>
      <c r="N13" s="122">
        <f>IF(AND($C13&lt;&gt;"",K13&lt;&gt;"Full Refresher"),'G2 FIL Reading Scoresheet'!$R15/6,"")</f>
        <v>0.83333333333333337</v>
      </c>
      <c r="O13" s="121">
        <f>IF(AND(C13&lt;&gt;"",K13&lt;&gt;"Full Refresher"),'G2 FIL Reading Scoresheet'!$P15,"")</f>
        <v>45</v>
      </c>
      <c r="P13" s="125" t="str">
        <f>'G2 FIL Reading Scoresheet'!$U15</f>
        <v>Reading At Grade Level</v>
      </c>
      <c r="Q13" s="126" t="str">
        <f>CONCATENATE(IF(ISBLANK('G2 MT Reading Scoresheet'!V15),"",CONCATENATE("MT:",TRIM('G2 MT Reading Scoresheet'!V15)))," ",IF(ISBLANK('G2 FIL Reading Scoresheet'!V15),"",CONCATENATE("FIL:",TRIM('G2 FIL Reading Scoresheet'!V15))))</f>
        <v/>
      </c>
    </row>
    <row r="14" spans="1:18">
      <c r="A14" s="112">
        <v>6</v>
      </c>
      <c r="B14" s="113">
        <f>IF('G2 MT Reading Scoresheet'!B16&lt;&gt;"",'G2 MT Reading Scoresheet'!B16,"")</f>
        <v>117443230007</v>
      </c>
      <c r="C14" s="114" t="str">
        <f>IF('G2 MT Reading Scoresheet'!C16&lt;&gt;"",'G2 MT Reading Scoresheet'!C16,"")</f>
        <v>ANTONIO, JELAISA JEAN P.</v>
      </c>
      <c r="D14" s="115" t="str">
        <f>IF('G2 MT Reading Scoresheet'!D16&lt;&gt;"",'G2 MT Reading Scoresheet'!D16,"")</f>
        <v>Female</v>
      </c>
      <c r="E14" s="110" t="str">
        <f>'G2 MT Reading Scoresheet'!$J16</f>
        <v>Full Refresher</v>
      </c>
      <c r="F14" s="111">
        <f>IF(C14&lt;&gt;"",'G2 MT Reading Scoresheet'!$I16/30,"")</f>
        <v>0.13333333333333333</v>
      </c>
      <c r="G14" s="111" t="str">
        <f>IF(AND($C14&lt;&gt;"",$E14&lt;&gt;"Full Refresher"),'G2 MT Reading Scoresheet'!$Q16,"")</f>
        <v/>
      </c>
      <c r="H14" s="111" t="str">
        <f>IF(AND(C14&lt;&gt;"",E14&lt;&gt;"Full Refresher"),'G2 MT Reading Scoresheet'!$R16/6,"")</f>
        <v/>
      </c>
      <c r="I14" s="110" t="str">
        <f>IF(AND(D14&lt;&gt;"",F14&lt;&gt;"Full Refresher"),'G2 MT Reading Scoresheet'!$P16,"")</f>
        <v/>
      </c>
      <c r="J14" s="124" t="str">
        <f>'G2 MT Reading Scoresheet'!$U16</f>
        <v>Low Emerging Reader</v>
      </c>
      <c r="K14" s="121" t="str">
        <f>'G2 FIL Reading Scoresheet'!$J16</f>
        <v>Full Refresher</v>
      </c>
      <c r="L14" s="122">
        <f>IF($C14&lt;&gt;"",'G2 FIL Reading Scoresheet'!$I16/30,"")</f>
        <v>0.13333333333333333</v>
      </c>
      <c r="M14" s="122" t="str">
        <f>IF(AND($C14&lt;&gt;"",$K14&lt;&gt;"Full Refresher"),'G2 FIL Reading Scoresheet'!$Q16,"")</f>
        <v/>
      </c>
      <c r="N14" s="122" t="str">
        <f>IF(AND($C14&lt;&gt;"",K14&lt;&gt;"Full Refresher"),'G2 FIL Reading Scoresheet'!$R16/6,"")</f>
        <v/>
      </c>
      <c r="O14" s="121" t="str">
        <f>IF(AND(C14&lt;&gt;"",K14&lt;&gt;"Full Refresher"),'G2 FIL Reading Scoresheet'!$P16,"")</f>
        <v/>
      </c>
      <c r="P14" s="125" t="str">
        <f>'G2 FIL Reading Scoresheet'!$U16</f>
        <v>Low Emerging Reader</v>
      </c>
      <c r="Q14" s="127" t="str">
        <f>CONCATENATE(IF(ISBLANK('G2 MT Reading Scoresheet'!V16),"",CONCATENATE("MT:",TRIM('G2 MT Reading Scoresheet'!V16)))," ",IF(ISBLANK('G2 FIL Reading Scoresheet'!V16),"",CONCATENATE("FIL:",TRIM('G2 FIL Reading Scoresheet'!V16))))</f>
        <v/>
      </c>
    </row>
    <row r="15" spans="1:18">
      <c r="A15" s="106">
        <v>7</v>
      </c>
      <c r="B15" s="107">
        <f>IF('G2 MT Reading Scoresheet'!B17&lt;&gt;"",'G2 MT Reading Scoresheet'!B17,"")</f>
        <v>117443230008</v>
      </c>
      <c r="C15" s="108" t="str">
        <f>IF('G2 MT Reading Scoresheet'!C17&lt;&gt;"",'G2 MT Reading Scoresheet'!C17,"")</f>
        <v>CUSTODIO, MARICAR C.</v>
      </c>
      <c r="D15" s="109" t="str">
        <f>IF('G2 MT Reading Scoresheet'!D17&lt;&gt;"",'G2 MT Reading Scoresheet'!D17,"")</f>
        <v>Female</v>
      </c>
      <c r="E15" s="110" t="str">
        <f>'G2 MT Reading Scoresheet'!$J17</f>
        <v>Grade Ready</v>
      </c>
      <c r="F15" s="111">
        <f>IF(C15&lt;&gt;"",'G2 MT Reading Scoresheet'!$I17/30,"")</f>
        <v>0.96666666666666667</v>
      </c>
      <c r="G15" s="111">
        <f>IF(AND($C15&lt;&gt;"",$E15&lt;&gt;"Full Refresher"),'G2 MT Reading Scoresheet'!$Q17,"")</f>
        <v>0.94791666666666663</v>
      </c>
      <c r="H15" s="111">
        <f>IF(AND(C15&lt;&gt;"",E15&lt;&gt;"Full Refresher"),'G2 MT Reading Scoresheet'!$R17/6,"")</f>
        <v>0.83333333333333337</v>
      </c>
      <c r="I15" s="110">
        <f>IF(AND(D15&lt;&gt;"",F15&lt;&gt;"Full Refresher"),'G2 MT Reading Scoresheet'!$P17,"")</f>
        <v>45.5</v>
      </c>
      <c r="J15" s="124" t="str">
        <f>'G2 MT Reading Scoresheet'!$U17</f>
        <v>Reading At Grade Level</v>
      </c>
      <c r="K15" s="121" t="str">
        <f>'G2 FIL Reading Scoresheet'!$J17</f>
        <v>Grade Ready</v>
      </c>
      <c r="L15" s="122">
        <f>IF($C15&lt;&gt;"",'G2 FIL Reading Scoresheet'!$I17/30,"")</f>
        <v>1</v>
      </c>
      <c r="M15" s="122">
        <f>IF(AND($C15&lt;&gt;"",$K15&lt;&gt;"Full Refresher"),'G2 FIL Reading Scoresheet'!$Q17,"")</f>
        <v>0.96875</v>
      </c>
      <c r="N15" s="122">
        <f>IF(AND($C15&lt;&gt;"",K15&lt;&gt;"Full Refresher"),'G2 FIL Reading Scoresheet'!$R17/6,"")</f>
        <v>0.66666666666666663</v>
      </c>
      <c r="O15" s="121">
        <f>IF(AND(C15&lt;&gt;"",K15&lt;&gt;"Full Refresher"),'G2 FIL Reading Scoresheet'!$P17,"")</f>
        <v>46.5</v>
      </c>
      <c r="P15" s="125" t="str">
        <f>'G2 FIL Reading Scoresheet'!$U17</f>
        <v>Transitioning Reader</v>
      </c>
      <c r="Q15" s="126" t="str">
        <f>CONCATENATE(IF(ISBLANK('G2 MT Reading Scoresheet'!V17),"",CONCATENATE("MT:",TRIM('G2 MT Reading Scoresheet'!V17)))," ",IF(ISBLANK('G2 FIL Reading Scoresheet'!V17),"",CONCATENATE("FIL:",TRIM('G2 FIL Reading Scoresheet'!V17))))</f>
        <v/>
      </c>
    </row>
    <row r="16" spans="1:18">
      <c r="A16" s="112">
        <v>8</v>
      </c>
      <c r="B16" s="113">
        <f>IF('G2 MT Reading Scoresheet'!B18&lt;&gt;"",'G2 MT Reading Scoresheet'!B18,"")</f>
        <v>117443230009</v>
      </c>
      <c r="C16" s="114" t="str">
        <f>IF('G2 MT Reading Scoresheet'!C18&lt;&gt;"",'G2 MT Reading Scoresheet'!C18,"")</f>
        <v>DUMAICOS, NOVELYN F.</v>
      </c>
      <c r="D16" s="115" t="str">
        <f>IF('G2 MT Reading Scoresheet'!D18&lt;&gt;"",'G2 MT Reading Scoresheet'!D18,"")</f>
        <v>Female</v>
      </c>
      <c r="E16" s="110" t="str">
        <f>'G2 MT Reading Scoresheet'!$J18</f>
        <v>Grade Ready</v>
      </c>
      <c r="F16" s="111">
        <f>IF(C16&lt;&gt;"",'G2 MT Reading Scoresheet'!$I18/30,"")</f>
        <v>0.9</v>
      </c>
      <c r="G16" s="111">
        <f>IF(AND($C16&lt;&gt;"",$E16&lt;&gt;"Full Refresher"),'G2 MT Reading Scoresheet'!$Q18,"")</f>
        <v>0.58333333333333337</v>
      </c>
      <c r="H16" s="111">
        <f>IF(AND(C16&lt;&gt;"",E16&lt;&gt;"Full Refresher"),'G2 MT Reading Scoresheet'!$R18/6,"")</f>
        <v>0.5</v>
      </c>
      <c r="I16" s="110">
        <f>IF(AND(D16&lt;&gt;"",F16&lt;&gt;"Full Refresher"),'G2 MT Reading Scoresheet'!$P18,"")</f>
        <v>28</v>
      </c>
      <c r="J16" s="124" t="str">
        <f>'G2 MT Reading Scoresheet'!$U18</f>
        <v>Transitioning Reader</v>
      </c>
      <c r="K16" s="121" t="str">
        <f>'G2 FIL Reading Scoresheet'!$J18</f>
        <v>Grade Ready</v>
      </c>
      <c r="L16" s="122">
        <f>IF($C16&lt;&gt;"",'G2 FIL Reading Scoresheet'!$I18/30,"")</f>
        <v>0.9</v>
      </c>
      <c r="M16" s="122">
        <f>IF(AND($C16&lt;&gt;"",$K16&lt;&gt;"Full Refresher"),'G2 FIL Reading Scoresheet'!$Q18,"")</f>
        <v>0.64210526315789473</v>
      </c>
      <c r="N16" s="122">
        <f>IF(AND($C16&lt;&gt;"",K16&lt;&gt;"Full Refresher"),'G2 FIL Reading Scoresheet'!$R18/6,"")</f>
        <v>0.33333333333333331</v>
      </c>
      <c r="O16" s="121">
        <f>IF(AND(C16&lt;&gt;"",K16&lt;&gt;"Full Refresher"),'G2 FIL Reading Scoresheet'!$P18,"")</f>
        <v>30.5</v>
      </c>
      <c r="P16" s="125" t="str">
        <f>'G2 FIL Reading Scoresheet'!$U18</f>
        <v>Developing Reader</v>
      </c>
      <c r="Q16" s="127" t="str">
        <f>CONCATENATE(IF(ISBLANK('G2 MT Reading Scoresheet'!V18),"",CONCATENATE("MT:",TRIM('G2 MT Reading Scoresheet'!V18)))," ",IF(ISBLANK('G2 FIL Reading Scoresheet'!V18),"",CONCATENATE("FIL:",TRIM('G2 FIL Reading Scoresheet'!V18))))</f>
        <v/>
      </c>
    </row>
    <row r="17" spans="1:17">
      <c r="A17" s="106">
        <v>9</v>
      </c>
      <c r="B17" s="107">
        <f>IF('G2 MT Reading Scoresheet'!B19&lt;&gt;"",'G2 MT Reading Scoresheet'!B19,"")</f>
        <v>117443230010</v>
      </c>
      <c r="C17" s="108" t="str">
        <f>IF('G2 MT Reading Scoresheet'!C19&lt;&gt;"",'G2 MT Reading Scoresheet'!C19,"")</f>
        <v>DUMANIEL, SHANAYA A.</v>
      </c>
      <c r="D17" s="109" t="str">
        <f>IF('G2 MT Reading Scoresheet'!D19&lt;&gt;"",'G2 MT Reading Scoresheet'!D19,"")</f>
        <v>Female</v>
      </c>
      <c r="E17" s="110" t="str">
        <f>'G2 MT Reading Scoresheet'!$J19</f>
        <v>Grade Ready</v>
      </c>
      <c r="F17" s="111">
        <f>IF(C17&lt;&gt;"",'G2 MT Reading Scoresheet'!$I19/30,"")</f>
        <v>1</v>
      </c>
      <c r="G17" s="111">
        <f>IF(AND($C17&lt;&gt;"",$E17&lt;&gt;"Full Refresher"),'G2 MT Reading Scoresheet'!$Q19,"")</f>
        <v>0.90625</v>
      </c>
      <c r="H17" s="111">
        <f>IF(AND(C17&lt;&gt;"",E17&lt;&gt;"Full Refresher"),'G2 MT Reading Scoresheet'!$R19/6,"")</f>
        <v>0.83333333333333337</v>
      </c>
      <c r="I17" s="110">
        <f>IF(AND(D17&lt;&gt;"",F17&lt;&gt;"Full Refresher"),'G2 MT Reading Scoresheet'!$P19,"")</f>
        <v>43.5</v>
      </c>
      <c r="J17" s="124" t="str">
        <f>'G2 MT Reading Scoresheet'!$U19</f>
        <v>Reading At Grade Level</v>
      </c>
      <c r="K17" s="121" t="str">
        <f>'G2 FIL Reading Scoresheet'!$J19</f>
        <v>Grade Ready</v>
      </c>
      <c r="L17" s="122">
        <f>IF($C17&lt;&gt;"",'G2 FIL Reading Scoresheet'!$I19/30,"")</f>
        <v>1</v>
      </c>
      <c r="M17" s="122">
        <f>IF(AND($C17&lt;&gt;"",$K17&lt;&gt;"Full Refresher"),'G2 FIL Reading Scoresheet'!$Q19,"")</f>
        <v>0.97894736842105268</v>
      </c>
      <c r="N17" s="122">
        <f>IF(AND($C17&lt;&gt;"",K17&lt;&gt;"Full Refresher"),'G2 FIL Reading Scoresheet'!$R19/6,"")</f>
        <v>0.83333333333333337</v>
      </c>
      <c r="O17" s="121">
        <f>IF(AND(C17&lt;&gt;"",K17&lt;&gt;"Full Refresher"),'G2 FIL Reading Scoresheet'!$P19,"")</f>
        <v>46.5</v>
      </c>
      <c r="P17" s="125" t="str">
        <f>'G2 FIL Reading Scoresheet'!$U19</f>
        <v>Reading At Grade Level</v>
      </c>
      <c r="Q17" s="126" t="str">
        <f>CONCATENATE(IF(ISBLANK('G2 MT Reading Scoresheet'!V19),"",CONCATENATE("MT:",TRIM('G2 MT Reading Scoresheet'!V19)))," ",IF(ISBLANK('G2 FIL Reading Scoresheet'!V19),"",CONCATENATE("FIL:",TRIM('G2 FIL Reading Scoresheet'!V19))))</f>
        <v/>
      </c>
    </row>
    <row r="18" spans="1:17">
      <c r="A18" s="112">
        <v>10</v>
      </c>
      <c r="B18" s="113">
        <f>IF('G2 MT Reading Scoresheet'!B20&lt;&gt;"",'G2 MT Reading Scoresheet'!B20,"")</f>
        <v>117443230013</v>
      </c>
      <c r="C18" s="114" t="str">
        <f>IF('G2 MT Reading Scoresheet'!C20&lt;&gt;"",'G2 MT Reading Scoresheet'!C20,"")</f>
        <v>ESTOCADA, JULIANA Q.</v>
      </c>
      <c r="D18" s="115" t="str">
        <f>IF('G2 MT Reading Scoresheet'!D20&lt;&gt;"",'G2 MT Reading Scoresheet'!D20,"")</f>
        <v>Female</v>
      </c>
      <c r="E18" s="110" t="str">
        <f>'G2 MT Reading Scoresheet'!$J20</f>
        <v>Grade Ready</v>
      </c>
      <c r="F18" s="111">
        <f>IF(C18&lt;&gt;"",'G2 MT Reading Scoresheet'!$I20/30,"")</f>
        <v>1</v>
      </c>
      <c r="G18" s="111">
        <f>IF(AND($C18&lt;&gt;"",$E18&lt;&gt;"Full Refresher"),'G2 MT Reading Scoresheet'!$Q20,"")</f>
        <v>0.95744680851063835</v>
      </c>
      <c r="H18" s="111">
        <f>IF(AND(C18&lt;&gt;"",E18&lt;&gt;"Full Refresher"),'G2 MT Reading Scoresheet'!$R20/6,"")</f>
        <v>0.83333333333333337</v>
      </c>
      <c r="I18" s="110">
        <f>IF(AND(D18&lt;&gt;"",F18&lt;&gt;"Full Refresher"),'G2 MT Reading Scoresheet'!$P20,"")</f>
        <v>45</v>
      </c>
      <c r="J18" s="124" t="str">
        <f>'G2 MT Reading Scoresheet'!$U20</f>
        <v>Reading At Grade Level</v>
      </c>
      <c r="K18" s="121" t="str">
        <f>'G2 FIL Reading Scoresheet'!$J20</f>
        <v>Grade Ready</v>
      </c>
      <c r="L18" s="122">
        <f>IF($C18&lt;&gt;"",'G2 FIL Reading Scoresheet'!$I20/30,"")</f>
        <v>1</v>
      </c>
      <c r="M18" s="122">
        <f>IF(AND($C18&lt;&gt;"",$K18&lt;&gt;"Full Refresher"),'G2 FIL Reading Scoresheet'!$Q20,"")</f>
        <v>0.88541666666666663</v>
      </c>
      <c r="N18" s="122">
        <f>IF(AND($C18&lt;&gt;"",K18&lt;&gt;"Full Refresher"),'G2 FIL Reading Scoresheet'!$R20/6,"")</f>
        <v>0.66666666666666663</v>
      </c>
      <c r="O18" s="121">
        <f>IF(AND(C18&lt;&gt;"",K18&lt;&gt;"Full Refresher"),'G2 FIL Reading Scoresheet'!$P20,"")</f>
        <v>42.5</v>
      </c>
      <c r="P18" s="125" t="str">
        <f>'G2 FIL Reading Scoresheet'!$U20</f>
        <v>Transitioning Reader</v>
      </c>
      <c r="Q18" s="127" t="str">
        <f>CONCATENATE(IF(ISBLANK('G2 MT Reading Scoresheet'!V20),"",CONCATENATE("MT:",TRIM('G2 MT Reading Scoresheet'!V20)))," ",IF(ISBLANK('G2 FIL Reading Scoresheet'!V20),"",CONCATENATE("FIL:",TRIM('G2 FIL Reading Scoresheet'!V20))))</f>
        <v/>
      </c>
    </row>
    <row r="19" spans="1:17">
      <c r="A19" s="106">
        <v>11</v>
      </c>
      <c r="B19" s="107">
        <f>IF('G2 MT Reading Scoresheet'!B21&lt;&gt;"",'G2 MT Reading Scoresheet'!B21,"")</f>
        <v>117443230011</v>
      </c>
      <c r="C19" s="108" t="str">
        <f>IF('G2 MT Reading Scoresheet'!C21&lt;&gt;"",'G2 MT Reading Scoresheet'!C21,"")</f>
        <v>GANCIA, CRISSUN V.</v>
      </c>
      <c r="D19" s="109" t="str">
        <f>IF('G2 MT Reading Scoresheet'!D21&lt;&gt;"",'G2 MT Reading Scoresheet'!D21,"")</f>
        <v>Female</v>
      </c>
      <c r="E19" s="110" t="str">
        <f>'G2 MT Reading Scoresheet'!$J21</f>
        <v>Grade Ready</v>
      </c>
      <c r="F19" s="111">
        <f>IF(C19&lt;&gt;"",'G2 MT Reading Scoresheet'!$I21/30,"")</f>
        <v>1</v>
      </c>
      <c r="G19" s="111">
        <f>IF(AND($C19&lt;&gt;"",$E19&lt;&gt;"Full Refresher"),'G2 MT Reading Scoresheet'!$Q21,"")</f>
        <v>0.94791666666666663</v>
      </c>
      <c r="H19" s="111">
        <f>IF(AND(C19&lt;&gt;"",E19&lt;&gt;"Full Refresher"),'G2 MT Reading Scoresheet'!$R21/6,"")</f>
        <v>0.83333333333333337</v>
      </c>
      <c r="I19" s="110">
        <f>IF(AND(D19&lt;&gt;"",F19&lt;&gt;"Full Refresher"),'G2 MT Reading Scoresheet'!$P21,"")</f>
        <v>45.5</v>
      </c>
      <c r="J19" s="124" t="str">
        <f>'G2 MT Reading Scoresheet'!$U21</f>
        <v>Reading At Grade Level</v>
      </c>
      <c r="K19" s="121" t="str">
        <f>'G2 FIL Reading Scoresheet'!$J21</f>
        <v>Grade Ready</v>
      </c>
      <c r="L19" s="122">
        <f>IF($C19&lt;&gt;"",'G2 FIL Reading Scoresheet'!$I21/30,"")</f>
        <v>1</v>
      </c>
      <c r="M19" s="122">
        <f>IF(AND($C19&lt;&gt;"",$K19&lt;&gt;"Full Refresher"),'G2 FIL Reading Scoresheet'!$Q21,"")</f>
        <v>0.94736842105263153</v>
      </c>
      <c r="N19" s="122">
        <f>IF(AND($C19&lt;&gt;"",K19&lt;&gt;"Full Refresher"),'G2 FIL Reading Scoresheet'!$R21/6,"")</f>
        <v>0.5</v>
      </c>
      <c r="O19" s="121">
        <f>IF(AND(C19&lt;&gt;"",K19&lt;&gt;"Full Refresher"),'G2 FIL Reading Scoresheet'!$P21,"")</f>
        <v>45</v>
      </c>
      <c r="P19" s="125" t="str">
        <f>'G2 FIL Reading Scoresheet'!$U21</f>
        <v>Transitioning Reader</v>
      </c>
      <c r="Q19" s="126" t="str">
        <f>CONCATENATE(IF(ISBLANK('G2 MT Reading Scoresheet'!V21),"",CONCATENATE("MT:",TRIM('G2 MT Reading Scoresheet'!V21)))," ",IF(ISBLANK('G2 FIL Reading Scoresheet'!V21),"",CONCATENATE("FIL:",TRIM('G2 FIL Reading Scoresheet'!V21))))</f>
        <v/>
      </c>
    </row>
    <row r="20" spans="1:17">
      <c r="A20" s="112">
        <v>12</v>
      </c>
      <c r="B20" s="113">
        <f>IF('G2 MT Reading Scoresheet'!B22&lt;&gt;"",'G2 MT Reading Scoresheet'!B22,"")</f>
        <v>117443230012</v>
      </c>
      <c r="C20" s="114" t="str">
        <f>IF('G2 MT Reading Scoresheet'!C22&lt;&gt;"",'G2 MT Reading Scoresheet'!C22,"")</f>
        <v>JUMBAS, JHAZMAINE KHATE A.</v>
      </c>
      <c r="D20" s="115" t="str">
        <f>IF('G2 MT Reading Scoresheet'!D22&lt;&gt;"",'G2 MT Reading Scoresheet'!D22,"")</f>
        <v>Female</v>
      </c>
      <c r="E20" s="110" t="str">
        <f>'G2 MT Reading Scoresheet'!$J22</f>
        <v>Grade Ready</v>
      </c>
      <c r="F20" s="111">
        <f>IF(C20&lt;&gt;"",'G2 MT Reading Scoresheet'!$I22/30,"")</f>
        <v>1</v>
      </c>
      <c r="G20" s="111">
        <f>IF(AND($C20&lt;&gt;"",$E20&lt;&gt;"Full Refresher"),'G2 MT Reading Scoresheet'!$Q22,"")</f>
        <v>1</v>
      </c>
      <c r="H20" s="111">
        <f>IF(AND(C20&lt;&gt;"",E20&lt;&gt;"Full Refresher"),'G2 MT Reading Scoresheet'!$R22/6,"")</f>
        <v>1</v>
      </c>
      <c r="I20" s="110">
        <f>IF(AND(D20&lt;&gt;"",F20&lt;&gt;"Full Refresher"),'G2 MT Reading Scoresheet'!$P22,"")</f>
        <v>48</v>
      </c>
      <c r="J20" s="124" t="str">
        <f>'G2 MT Reading Scoresheet'!$U22</f>
        <v>Reading At Grade Level</v>
      </c>
      <c r="K20" s="121" t="str">
        <f>'G2 FIL Reading Scoresheet'!$J22</f>
        <v>Grade Ready</v>
      </c>
      <c r="L20" s="122">
        <f>IF($C20&lt;&gt;"",'G2 FIL Reading Scoresheet'!$I22/30,"")</f>
        <v>1</v>
      </c>
      <c r="M20" s="122">
        <f>IF(AND($C20&lt;&gt;"",$K20&lt;&gt;"Full Refresher"),'G2 FIL Reading Scoresheet'!$Q22,"")</f>
        <v>0.98947368421052628</v>
      </c>
      <c r="N20" s="122">
        <f>IF(AND($C20&lt;&gt;"",K20&lt;&gt;"Full Refresher"),'G2 FIL Reading Scoresheet'!$R22/6,"")</f>
        <v>0.83333333333333337</v>
      </c>
      <c r="O20" s="121">
        <f>IF(AND(C20&lt;&gt;"",K20&lt;&gt;"Full Refresher"),'G2 FIL Reading Scoresheet'!$P22,"")</f>
        <v>47</v>
      </c>
      <c r="P20" s="125" t="str">
        <f>'G2 FIL Reading Scoresheet'!$U22</f>
        <v>Reading At Grade Level</v>
      </c>
      <c r="Q20" s="127" t="str">
        <f>CONCATENATE(IF(ISBLANK('G2 MT Reading Scoresheet'!V22),"",CONCATENATE("MT:",TRIM('G2 MT Reading Scoresheet'!V22)))," ",IF(ISBLANK('G2 FIL Reading Scoresheet'!V22),"",CONCATENATE("FIL:",TRIM('G2 FIL Reading Scoresheet'!V22))))</f>
        <v xml:space="preserve"> </v>
      </c>
    </row>
    <row r="21" spans="1:17">
      <c r="A21" s="106">
        <v>13</v>
      </c>
      <c r="B21" s="107">
        <f>IF('G2 MT Reading Scoresheet'!B23&lt;&gt;"",'G2 MT Reading Scoresheet'!B23,"")</f>
        <v>117441230029</v>
      </c>
      <c r="C21" s="108" t="str">
        <f>IF('G2 MT Reading Scoresheet'!C23&lt;&gt;"",'G2 MT Reading Scoresheet'!C23,"")</f>
        <v>LABANZA, ALEJANDRINE AMIAH G.</v>
      </c>
      <c r="D21" s="109" t="str">
        <f>IF('G2 MT Reading Scoresheet'!D23&lt;&gt;"",'G2 MT Reading Scoresheet'!D23,"")</f>
        <v>Female</v>
      </c>
      <c r="E21" s="110" t="str">
        <f>'G2 MT Reading Scoresheet'!$J23</f>
        <v>Grade Ready</v>
      </c>
      <c r="F21" s="111">
        <f>IF(C21&lt;&gt;"",'G2 MT Reading Scoresheet'!$I23/30,"")</f>
        <v>0.96666666666666667</v>
      </c>
      <c r="G21" s="111">
        <f>IF(AND($C21&lt;&gt;"",$E21&lt;&gt;"Full Refresher"),'G2 MT Reading Scoresheet'!$Q23,"")</f>
        <v>0.78723404255319152</v>
      </c>
      <c r="H21" s="111">
        <f>IF(AND(C21&lt;&gt;"",E21&lt;&gt;"Full Refresher"),'G2 MT Reading Scoresheet'!$R23/6,"")</f>
        <v>0.66666666666666663</v>
      </c>
      <c r="I21" s="110">
        <f>IF(AND(D21&lt;&gt;"",F21&lt;&gt;"Full Refresher"),'G2 MT Reading Scoresheet'!$P23,"")</f>
        <v>37</v>
      </c>
      <c r="J21" s="124" t="str">
        <f>'G2 MT Reading Scoresheet'!$U23</f>
        <v>Transitioning Reader</v>
      </c>
      <c r="K21" s="121" t="str">
        <f>'G2 FIL Reading Scoresheet'!$J23</f>
        <v>Grade Ready</v>
      </c>
      <c r="L21" s="122">
        <f>IF($C21&lt;&gt;"",'G2 FIL Reading Scoresheet'!$I23/30,"")</f>
        <v>0.96666666666666667</v>
      </c>
      <c r="M21" s="122">
        <f>IF(AND($C21&lt;&gt;"",$K21&lt;&gt;"Full Refresher"),'G2 FIL Reading Scoresheet'!$Q23,"")</f>
        <v>0.64583333333333337</v>
      </c>
      <c r="N21" s="122">
        <f>IF(AND($C21&lt;&gt;"",K21&lt;&gt;"Full Refresher"),'G2 FIL Reading Scoresheet'!$R23/6,"")</f>
        <v>0.33333333333333331</v>
      </c>
      <c r="O21" s="121">
        <f>IF(AND(C21&lt;&gt;"",K21&lt;&gt;"Full Refresher"),'G2 FIL Reading Scoresheet'!$P23,"")</f>
        <v>31.000000000000004</v>
      </c>
      <c r="P21" s="125" t="str">
        <f>'G2 FIL Reading Scoresheet'!$U23</f>
        <v>Developing Reader</v>
      </c>
      <c r="Q21" s="126" t="str">
        <f>CONCATENATE(IF(ISBLANK('G2 MT Reading Scoresheet'!V23),"",CONCATENATE("MT:",TRIM('G2 MT Reading Scoresheet'!V23)))," ",IF(ISBLANK('G2 FIL Reading Scoresheet'!V23),"",CONCATENATE("FIL:",TRIM('G2 FIL Reading Scoresheet'!V23))))</f>
        <v/>
      </c>
    </row>
    <row r="22" spans="1:17">
      <c r="A22" s="112">
        <v>14</v>
      </c>
      <c r="B22" s="113" t="str">
        <f>IF('G2 MT Reading Scoresheet'!B24&lt;&gt;"",'G2 MT Reading Scoresheet'!B24,"")</f>
        <v/>
      </c>
      <c r="C22" s="114" t="str">
        <f>IF('G2 MT Reading Scoresheet'!C24&lt;&gt;"",'G2 MT Reading Scoresheet'!C24,"")</f>
        <v/>
      </c>
      <c r="D22" s="115" t="str">
        <f>IF('G2 MT Reading Scoresheet'!D24&lt;&gt;"",'G2 MT Reading Scoresheet'!D24,"")</f>
        <v/>
      </c>
      <c r="E22" s="110" t="str">
        <f>'G2 MT Reading Scoresheet'!$J24</f>
        <v/>
      </c>
      <c r="F22" s="111" t="str">
        <f>IF(C22&lt;&gt;"",'G2 MT Reading Scoresheet'!$I24/30,"")</f>
        <v/>
      </c>
      <c r="G22" s="111" t="str">
        <f>IF(AND($C22&lt;&gt;"",$E22&lt;&gt;"Full Refresher"),'G2 MT Reading Scoresheet'!$Q24,"")</f>
        <v/>
      </c>
      <c r="H22" s="111" t="str">
        <f>IF(AND(C22&lt;&gt;"",E22&lt;&gt;"Full Refresher"),'G2 MT Reading Scoresheet'!$R24/6,"")</f>
        <v/>
      </c>
      <c r="I22" s="110" t="str">
        <f>IF(AND(D22&lt;&gt;"",F22&lt;&gt;"Full Refresher"),'G2 MT Reading Scoresheet'!$P24,"")</f>
        <v/>
      </c>
      <c r="J22" s="124" t="str">
        <f>'G2 MT Reading Scoresheet'!$U24</f>
        <v/>
      </c>
      <c r="K22" s="121" t="str">
        <f>'G2 FIL Reading Scoresheet'!$J24</f>
        <v/>
      </c>
      <c r="L22" s="122" t="str">
        <f>IF($C22&lt;&gt;"",'G2 FIL Reading Scoresheet'!$I24/30,"")</f>
        <v/>
      </c>
      <c r="M22" s="122" t="str">
        <f>IF(AND($C22&lt;&gt;"",$K22&lt;&gt;"Full Refresher"),'G2 FIL Reading Scoresheet'!$Q24,"")</f>
        <v/>
      </c>
      <c r="N22" s="122" t="str">
        <f>IF(AND($C22&lt;&gt;"",K22&lt;&gt;"Full Refresher"),'G2 FIL Reading Scoresheet'!$R24/6,"")</f>
        <v/>
      </c>
      <c r="O22" s="121" t="str">
        <f>IF(AND(C22&lt;&gt;"",K22&lt;&gt;"Full Refresher"),'G2 FIL Reading Scoresheet'!$P24,"")</f>
        <v/>
      </c>
      <c r="P22" s="125" t="str">
        <f>'G2 FIL Reading Scoresheet'!$U24</f>
        <v/>
      </c>
      <c r="Q22" s="127" t="str">
        <f>CONCATENATE(IF(ISBLANK('G2 MT Reading Scoresheet'!V24),"",CONCATENATE("MT:",TRIM('G2 MT Reading Scoresheet'!V24)))," ",IF(ISBLANK('G2 FIL Reading Scoresheet'!V24),"",CONCATENATE("FIL:",TRIM('G2 FIL Reading Scoresheet'!V24))))</f>
        <v/>
      </c>
    </row>
    <row r="23" spans="1:17">
      <c r="A23" s="106">
        <v>15</v>
      </c>
      <c r="B23" s="107" t="str">
        <f>IF('G2 MT Reading Scoresheet'!B25&lt;&gt;"",'G2 MT Reading Scoresheet'!B25,"")</f>
        <v/>
      </c>
      <c r="C23" s="108" t="str">
        <f>IF('G2 MT Reading Scoresheet'!C25&lt;&gt;"",'G2 MT Reading Scoresheet'!C25,"")</f>
        <v/>
      </c>
      <c r="D23" s="109" t="str">
        <f>IF('G2 MT Reading Scoresheet'!D25&lt;&gt;"",'G2 MT Reading Scoresheet'!D25,"")</f>
        <v/>
      </c>
      <c r="E23" s="110" t="str">
        <f>'G2 MT Reading Scoresheet'!$J25</f>
        <v/>
      </c>
      <c r="F23" s="111" t="str">
        <f>IF(C23&lt;&gt;"",'G2 MT Reading Scoresheet'!$I25/30,"")</f>
        <v/>
      </c>
      <c r="G23" s="111" t="str">
        <f>IF(AND($C23&lt;&gt;"",$E23&lt;&gt;"Full Refresher"),'G2 MT Reading Scoresheet'!$Q25,"")</f>
        <v/>
      </c>
      <c r="H23" s="111" t="str">
        <f>IF(AND(C23&lt;&gt;"",E23&lt;&gt;"Full Refresher"),'G2 MT Reading Scoresheet'!$R25/6,"")</f>
        <v/>
      </c>
      <c r="I23" s="110" t="str">
        <f>IF(AND(D23&lt;&gt;"",F23&lt;&gt;"Full Refresher"),'G2 MT Reading Scoresheet'!$P25,"")</f>
        <v/>
      </c>
      <c r="J23" s="124" t="str">
        <f>'G2 MT Reading Scoresheet'!$U25</f>
        <v/>
      </c>
      <c r="K23" s="121" t="str">
        <f>'G2 FIL Reading Scoresheet'!$J25</f>
        <v/>
      </c>
      <c r="L23" s="122" t="str">
        <f>IF($C23&lt;&gt;"",'G2 FIL Reading Scoresheet'!$I25/30,"")</f>
        <v/>
      </c>
      <c r="M23" s="122" t="str">
        <f>IF(AND($C23&lt;&gt;"",$K23&lt;&gt;"Full Refresher"),'G2 FIL Reading Scoresheet'!$Q25,"")</f>
        <v/>
      </c>
      <c r="N23" s="122" t="str">
        <f>IF(AND($C23&lt;&gt;"",K23&lt;&gt;"Full Refresher"),'G2 FIL Reading Scoresheet'!$R25/6,"")</f>
        <v/>
      </c>
      <c r="O23" s="121" t="str">
        <f>IF(AND(C23&lt;&gt;"",K23&lt;&gt;"Full Refresher"),'G2 FIL Reading Scoresheet'!$P25,"")</f>
        <v/>
      </c>
      <c r="P23" s="125" t="str">
        <f>'G2 FIL Reading Scoresheet'!$U25</f>
        <v/>
      </c>
      <c r="Q23" s="126" t="str">
        <f>CONCATENATE(IF(ISBLANK('G2 MT Reading Scoresheet'!V25),"",CONCATENATE("MT:",TRIM('G2 MT Reading Scoresheet'!V25)))," ",IF(ISBLANK('G2 FIL Reading Scoresheet'!V25),"",CONCATENATE("FIL:",TRIM('G2 FIL Reading Scoresheet'!V25))))</f>
        <v/>
      </c>
    </row>
    <row r="24" spans="1:17">
      <c r="A24" s="112">
        <v>16</v>
      </c>
      <c r="B24" s="113" t="str">
        <f>IF('G2 MT Reading Scoresheet'!B26&lt;&gt;"",'G2 MT Reading Scoresheet'!B26,"")</f>
        <v/>
      </c>
      <c r="C24" s="114" t="str">
        <f>IF('G2 MT Reading Scoresheet'!C26&lt;&gt;"",'G2 MT Reading Scoresheet'!C26,"")</f>
        <v/>
      </c>
      <c r="D24" s="115" t="str">
        <f>IF('G2 MT Reading Scoresheet'!D26&lt;&gt;"",'G2 MT Reading Scoresheet'!D26,"")</f>
        <v/>
      </c>
      <c r="E24" s="110" t="str">
        <f>'G2 MT Reading Scoresheet'!$J26</f>
        <v/>
      </c>
      <c r="F24" s="111" t="str">
        <f>IF(C24&lt;&gt;"",'G2 MT Reading Scoresheet'!$I26/30,"")</f>
        <v/>
      </c>
      <c r="G24" s="111" t="str">
        <f>IF(AND($C24&lt;&gt;"",$E24&lt;&gt;"Full Refresher"),'G2 MT Reading Scoresheet'!$Q26,"")</f>
        <v/>
      </c>
      <c r="H24" s="111" t="str">
        <f>IF(AND(C24&lt;&gt;"",E24&lt;&gt;"Full Refresher"),'G2 MT Reading Scoresheet'!$R26/6,"")</f>
        <v/>
      </c>
      <c r="I24" s="110" t="str">
        <f>IF(AND(D24&lt;&gt;"",F24&lt;&gt;"Full Refresher"),'G2 MT Reading Scoresheet'!$P26,"")</f>
        <v/>
      </c>
      <c r="J24" s="124" t="str">
        <f>'G2 MT Reading Scoresheet'!$U26</f>
        <v/>
      </c>
      <c r="K24" s="121" t="str">
        <f>'G2 FIL Reading Scoresheet'!$J26</f>
        <v/>
      </c>
      <c r="L24" s="122" t="str">
        <f>IF($C24&lt;&gt;"",'G2 FIL Reading Scoresheet'!$I26/30,"")</f>
        <v/>
      </c>
      <c r="M24" s="122" t="str">
        <f>IF(AND($C24&lt;&gt;"",$K24&lt;&gt;"Full Refresher"),'G2 FIL Reading Scoresheet'!$Q26,"")</f>
        <v/>
      </c>
      <c r="N24" s="122" t="str">
        <f>IF(AND($C24&lt;&gt;"",K24&lt;&gt;"Full Refresher"),'G2 FIL Reading Scoresheet'!$R26/6,"")</f>
        <v/>
      </c>
      <c r="O24" s="121" t="str">
        <f>IF(AND(C24&lt;&gt;"",K24&lt;&gt;"Full Refresher"),'G2 FIL Reading Scoresheet'!$P26,"")</f>
        <v/>
      </c>
      <c r="P24" s="125" t="str">
        <f>'G2 FIL Reading Scoresheet'!$U26</f>
        <v/>
      </c>
      <c r="Q24" s="127" t="str">
        <f>CONCATENATE(IF(ISBLANK('G2 MT Reading Scoresheet'!V26),"",CONCATENATE("MT:",TRIM('G2 MT Reading Scoresheet'!V26)))," ",IF(ISBLANK('G2 FIL Reading Scoresheet'!V26),"",CONCATENATE("FIL:",TRIM('G2 FIL Reading Scoresheet'!V26))))</f>
        <v/>
      </c>
    </row>
    <row r="25" spans="1:17">
      <c r="A25" s="106">
        <v>17</v>
      </c>
      <c r="B25" s="107" t="str">
        <f>IF('G2 MT Reading Scoresheet'!B27&lt;&gt;"",'G2 MT Reading Scoresheet'!B27,"")</f>
        <v/>
      </c>
      <c r="C25" s="108" t="str">
        <f>IF('G2 MT Reading Scoresheet'!C27&lt;&gt;"",'G2 MT Reading Scoresheet'!C27,"")</f>
        <v/>
      </c>
      <c r="D25" s="109" t="str">
        <f>IF('G2 MT Reading Scoresheet'!D27&lt;&gt;"",'G2 MT Reading Scoresheet'!D27,"")</f>
        <v/>
      </c>
      <c r="E25" s="110" t="str">
        <f>'G2 MT Reading Scoresheet'!$J27</f>
        <v/>
      </c>
      <c r="F25" s="111" t="str">
        <f>IF(C25&lt;&gt;"",'G2 MT Reading Scoresheet'!$I27/30,"")</f>
        <v/>
      </c>
      <c r="G25" s="111" t="str">
        <f>IF(AND($C25&lt;&gt;"",$E25&lt;&gt;"Full Refresher"),'G2 MT Reading Scoresheet'!$Q27,"")</f>
        <v/>
      </c>
      <c r="H25" s="111" t="str">
        <f>IF(AND(C25&lt;&gt;"",E25&lt;&gt;"Full Refresher"),'G2 MT Reading Scoresheet'!$R27/6,"")</f>
        <v/>
      </c>
      <c r="I25" s="110" t="str">
        <f>IF(AND(D25&lt;&gt;"",F25&lt;&gt;"Full Refresher"),'G2 MT Reading Scoresheet'!$P27,"")</f>
        <v/>
      </c>
      <c r="J25" s="124" t="str">
        <f>'G2 MT Reading Scoresheet'!$U27</f>
        <v/>
      </c>
      <c r="K25" s="121" t="str">
        <f>'G2 FIL Reading Scoresheet'!$J27</f>
        <v/>
      </c>
      <c r="L25" s="122" t="str">
        <f>IF($C25&lt;&gt;"",'G2 FIL Reading Scoresheet'!$I27/30,"")</f>
        <v/>
      </c>
      <c r="M25" s="122" t="str">
        <f>IF(AND($C25&lt;&gt;"",$K25&lt;&gt;"Full Refresher"),'G2 FIL Reading Scoresheet'!$Q27,"")</f>
        <v/>
      </c>
      <c r="N25" s="122" t="str">
        <f>IF(AND($C25&lt;&gt;"",K25&lt;&gt;"Full Refresher"),'G2 FIL Reading Scoresheet'!$R27/6,"")</f>
        <v/>
      </c>
      <c r="O25" s="121" t="str">
        <f>IF(AND(C25&lt;&gt;"",K25&lt;&gt;"Full Refresher"),'G2 FIL Reading Scoresheet'!$P27,"")</f>
        <v/>
      </c>
      <c r="P25" s="125" t="str">
        <f>'G2 FIL Reading Scoresheet'!$U27</f>
        <v/>
      </c>
      <c r="Q25" s="126" t="str">
        <f>CONCATENATE(IF(ISBLANK('G2 MT Reading Scoresheet'!V27),"",CONCATENATE("MT:",TRIM('G2 MT Reading Scoresheet'!V27)))," ",IF(ISBLANK('G2 FIL Reading Scoresheet'!V27),"",CONCATENATE("FIL:",TRIM('G2 FIL Reading Scoresheet'!V27))))</f>
        <v/>
      </c>
    </row>
    <row r="26" spans="1:17">
      <c r="A26" s="112">
        <v>18</v>
      </c>
      <c r="B26" s="113" t="str">
        <f>IF('G2 MT Reading Scoresheet'!B28&lt;&gt;"",'G2 MT Reading Scoresheet'!B28,"")</f>
        <v/>
      </c>
      <c r="C26" s="114" t="str">
        <f>IF('G2 MT Reading Scoresheet'!C28&lt;&gt;"",'G2 MT Reading Scoresheet'!C28,"")</f>
        <v/>
      </c>
      <c r="D26" s="115" t="str">
        <f>IF('G2 MT Reading Scoresheet'!D28&lt;&gt;"",'G2 MT Reading Scoresheet'!D28,"")</f>
        <v/>
      </c>
      <c r="E26" s="110" t="str">
        <f>'G2 MT Reading Scoresheet'!$J28</f>
        <v/>
      </c>
      <c r="F26" s="111" t="str">
        <f>IF(C26&lt;&gt;"",'G2 MT Reading Scoresheet'!$I28/30,"")</f>
        <v/>
      </c>
      <c r="G26" s="111" t="str">
        <f>IF(AND($C26&lt;&gt;"",$E26&lt;&gt;"Full Refresher"),'G2 MT Reading Scoresheet'!$Q28,"")</f>
        <v/>
      </c>
      <c r="H26" s="111" t="str">
        <f>IF(AND(C26&lt;&gt;"",E26&lt;&gt;"Full Refresher"),'G2 MT Reading Scoresheet'!$R28/6,"")</f>
        <v/>
      </c>
      <c r="I26" s="110" t="str">
        <f>IF(AND(D26&lt;&gt;"",F26&lt;&gt;"Full Refresher"),'G2 MT Reading Scoresheet'!$P28,"")</f>
        <v/>
      </c>
      <c r="J26" s="124" t="str">
        <f>'G2 MT Reading Scoresheet'!$U28</f>
        <v/>
      </c>
      <c r="K26" s="121" t="str">
        <f>'G2 FIL Reading Scoresheet'!$J28</f>
        <v/>
      </c>
      <c r="L26" s="122" t="str">
        <f>IF($C26&lt;&gt;"",'G2 FIL Reading Scoresheet'!$I28/30,"")</f>
        <v/>
      </c>
      <c r="M26" s="122" t="str">
        <f>IF(AND($C26&lt;&gt;"",$K26&lt;&gt;"Full Refresher"),'G2 FIL Reading Scoresheet'!$Q28,"")</f>
        <v/>
      </c>
      <c r="N26" s="122" t="str">
        <f>IF(AND($C26&lt;&gt;"",K26&lt;&gt;"Full Refresher"),'G2 FIL Reading Scoresheet'!$R28/6,"")</f>
        <v/>
      </c>
      <c r="O26" s="121" t="str">
        <f>IF(AND(C26&lt;&gt;"",K26&lt;&gt;"Full Refresher"),'G2 FIL Reading Scoresheet'!$P28,"")</f>
        <v/>
      </c>
      <c r="P26" s="125" t="str">
        <f>'G2 FIL Reading Scoresheet'!$U28</f>
        <v/>
      </c>
      <c r="Q26" s="127" t="str">
        <f>CONCATENATE(IF(ISBLANK('G2 MT Reading Scoresheet'!V28),"",CONCATENATE("MT:",TRIM('G2 MT Reading Scoresheet'!V28)))," ",IF(ISBLANK('G2 FIL Reading Scoresheet'!V28),"",CONCATENATE("FIL:",TRIM('G2 FIL Reading Scoresheet'!V28))))</f>
        <v/>
      </c>
    </row>
    <row r="27" spans="1:17">
      <c r="A27" s="106">
        <v>19</v>
      </c>
      <c r="B27" s="107" t="str">
        <f>IF('G2 MT Reading Scoresheet'!B29&lt;&gt;"",'G2 MT Reading Scoresheet'!B29,"")</f>
        <v/>
      </c>
      <c r="C27" s="108" t="str">
        <f>IF('G2 MT Reading Scoresheet'!C29&lt;&gt;"",'G2 MT Reading Scoresheet'!C29,"")</f>
        <v/>
      </c>
      <c r="D27" s="109" t="str">
        <f>IF('G2 MT Reading Scoresheet'!D29&lt;&gt;"",'G2 MT Reading Scoresheet'!D29,"")</f>
        <v/>
      </c>
      <c r="E27" s="110" t="str">
        <f>'G2 MT Reading Scoresheet'!$J29</f>
        <v/>
      </c>
      <c r="F27" s="111" t="str">
        <f>IF(C27&lt;&gt;"",'G2 MT Reading Scoresheet'!$I29/30,"")</f>
        <v/>
      </c>
      <c r="G27" s="111" t="str">
        <f>IF(AND($C27&lt;&gt;"",$E27&lt;&gt;"Full Refresher"),'G2 MT Reading Scoresheet'!$Q29,"")</f>
        <v/>
      </c>
      <c r="H27" s="111" t="str">
        <f>IF(AND(C27&lt;&gt;"",E27&lt;&gt;"Full Refresher"),'G2 MT Reading Scoresheet'!$R29/6,"")</f>
        <v/>
      </c>
      <c r="I27" s="110" t="str">
        <f>IF(AND(D27&lt;&gt;"",F27&lt;&gt;"Full Refresher"),'G2 MT Reading Scoresheet'!$P29,"")</f>
        <v/>
      </c>
      <c r="J27" s="124" t="str">
        <f>'G2 MT Reading Scoresheet'!$U29</f>
        <v/>
      </c>
      <c r="K27" s="121" t="str">
        <f>'G2 FIL Reading Scoresheet'!$J29</f>
        <v/>
      </c>
      <c r="L27" s="122" t="str">
        <f>IF($C27&lt;&gt;"",'G2 FIL Reading Scoresheet'!$I29/30,"")</f>
        <v/>
      </c>
      <c r="M27" s="122" t="str">
        <f>IF(AND($C27&lt;&gt;"",$K27&lt;&gt;"Full Refresher"),'G2 FIL Reading Scoresheet'!$Q29,"")</f>
        <v/>
      </c>
      <c r="N27" s="122" t="str">
        <f>IF(AND($C27&lt;&gt;"",K27&lt;&gt;"Full Refresher"),'G2 FIL Reading Scoresheet'!$R29/6,"")</f>
        <v/>
      </c>
      <c r="O27" s="121" t="str">
        <f>IF(AND(C27&lt;&gt;"",K27&lt;&gt;"Full Refresher"),'G2 FIL Reading Scoresheet'!$P29,"")</f>
        <v/>
      </c>
      <c r="P27" s="125" t="str">
        <f>'G2 FIL Reading Scoresheet'!$U29</f>
        <v/>
      </c>
      <c r="Q27" s="126" t="str">
        <f>CONCATENATE(IF(ISBLANK('G2 MT Reading Scoresheet'!V29),"",CONCATENATE("MT:",TRIM('G2 MT Reading Scoresheet'!V29)))," ",IF(ISBLANK('G2 FIL Reading Scoresheet'!V29),"",CONCATENATE("FIL:",TRIM('G2 FIL Reading Scoresheet'!V29))))</f>
        <v/>
      </c>
    </row>
    <row r="28" spans="1:17">
      <c r="A28" s="112">
        <v>20</v>
      </c>
      <c r="B28" s="113" t="str">
        <f>IF('G2 MT Reading Scoresheet'!B30&lt;&gt;"",'G2 MT Reading Scoresheet'!B30,"")</f>
        <v/>
      </c>
      <c r="C28" s="114" t="str">
        <f>IF('G2 MT Reading Scoresheet'!C30&lt;&gt;"",'G2 MT Reading Scoresheet'!C30,"")</f>
        <v/>
      </c>
      <c r="D28" s="115" t="str">
        <f>IF('G2 MT Reading Scoresheet'!D30&lt;&gt;"",'G2 MT Reading Scoresheet'!D30,"")</f>
        <v/>
      </c>
      <c r="E28" s="110" t="str">
        <f>'G2 MT Reading Scoresheet'!$J30</f>
        <v/>
      </c>
      <c r="F28" s="111" t="str">
        <f>IF(C28&lt;&gt;"",'G2 MT Reading Scoresheet'!$I30/30,"")</f>
        <v/>
      </c>
      <c r="G28" s="111" t="str">
        <f>IF(AND($C28&lt;&gt;"",$E28&lt;&gt;"Full Refresher"),'G2 MT Reading Scoresheet'!$Q30,"")</f>
        <v/>
      </c>
      <c r="H28" s="111" t="str">
        <f>IF(AND(C28&lt;&gt;"",E28&lt;&gt;"Full Refresher"),'G2 MT Reading Scoresheet'!$R30/6,"")</f>
        <v/>
      </c>
      <c r="I28" s="110" t="str">
        <f>IF(AND(D28&lt;&gt;"",F28&lt;&gt;"Full Refresher"),'G2 MT Reading Scoresheet'!$P30,"")</f>
        <v/>
      </c>
      <c r="J28" s="124" t="str">
        <f>'G2 MT Reading Scoresheet'!$U30</f>
        <v/>
      </c>
      <c r="K28" s="121" t="str">
        <f>'G2 FIL Reading Scoresheet'!$J30</f>
        <v/>
      </c>
      <c r="L28" s="122" t="str">
        <f>IF($C28&lt;&gt;"",'G2 FIL Reading Scoresheet'!$I30/30,"")</f>
        <v/>
      </c>
      <c r="M28" s="122" t="str">
        <f>IF(AND($C28&lt;&gt;"",$K28&lt;&gt;"Full Refresher"),'G2 FIL Reading Scoresheet'!$Q30,"")</f>
        <v/>
      </c>
      <c r="N28" s="122" t="str">
        <f>IF(AND($C28&lt;&gt;"",K28&lt;&gt;"Full Refresher"),'G2 FIL Reading Scoresheet'!$R30/6,"")</f>
        <v/>
      </c>
      <c r="O28" s="121" t="str">
        <f>IF(AND(C28&lt;&gt;"",K28&lt;&gt;"Full Refresher"),'G2 FIL Reading Scoresheet'!$P30,"")</f>
        <v/>
      </c>
      <c r="P28" s="125" t="str">
        <f>'G2 FIL Reading Scoresheet'!$U30</f>
        <v/>
      </c>
      <c r="Q28" s="127" t="str">
        <f>CONCATENATE(IF(ISBLANK('G2 MT Reading Scoresheet'!V30),"",CONCATENATE("MT:",TRIM('G2 MT Reading Scoresheet'!V30)))," ",IF(ISBLANK('G2 FIL Reading Scoresheet'!V30),"",CONCATENATE("FIL:",TRIM('G2 FIL Reading Scoresheet'!V30))))</f>
        <v/>
      </c>
    </row>
    <row r="29" spans="1:17">
      <c r="A29" s="106">
        <v>21</v>
      </c>
      <c r="B29" s="107" t="str">
        <f>IF('G2 MT Reading Scoresheet'!B31&lt;&gt;"",'G2 MT Reading Scoresheet'!B31,"")</f>
        <v/>
      </c>
      <c r="C29" s="108" t="str">
        <f>IF('G2 MT Reading Scoresheet'!C31&lt;&gt;"",'G2 MT Reading Scoresheet'!C31,"")</f>
        <v/>
      </c>
      <c r="D29" s="109" t="str">
        <f>IF('G2 MT Reading Scoresheet'!D31&lt;&gt;"",'G2 MT Reading Scoresheet'!D31,"")</f>
        <v/>
      </c>
      <c r="E29" s="110" t="str">
        <f>'G2 MT Reading Scoresheet'!$J31</f>
        <v/>
      </c>
      <c r="F29" s="111" t="str">
        <f>IF(C29&lt;&gt;"",'G2 MT Reading Scoresheet'!$I31/30,"")</f>
        <v/>
      </c>
      <c r="G29" s="111" t="str">
        <f>IF(AND($C29&lt;&gt;"",$E29&lt;&gt;"Full Refresher"),'G2 MT Reading Scoresheet'!$Q31,"")</f>
        <v/>
      </c>
      <c r="H29" s="111" t="str">
        <f>IF(AND(C29&lt;&gt;"",E29&lt;&gt;"Full Refresher"),'G2 MT Reading Scoresheet'!$R31/6,"")</f>
        <v/>
      </c>
      <c r="I29" s="110" t="str">
        <f>IF(AND(D29&lt;&gt;"",F29&lt;&gt;"Full Refresher"),'G2 MT Reading Scoresheet'!$P31,"")</f>
        <v/>
      </c>
      <c r="J29" s="124" t="str">
        <f>'G2 MT Reading Scoresheet'!$U31</f>
        <v/>
      </c>
      <c r="K29" s="121" t="str">
        <f>'G2 FIL Reading Scoresheet'!$J31</f>
        <v/>
      </c>
      <c r="L29" s="122" t="str">
        <f>IF($C29&lt;&gt;"",'G2 FIL Reading Scoresheet'!$I31/30,"")</f>
        <v/>
      </c>
      <c r="M29" s="122" t="str">
        <f>IF(AND($C29&lt;&gt;"",$K29&lt;&gt;"Full Refresher"),'G2 FIL Reading Scoresheet'!$Q31,"")</f>
        <v/>
      </c>
      <c r="N29" s="122" t="str">
        <f>IF(AND($C29&lt;&gt;"",K29&lt;&gt;"Full Refresher"),'G2 FIL Reading Scoresheet'!$R31/6,"")</f>
        <v/>
      </c>
      <c r="O29" s="121" t="str">
        <f>IF(AND(C29&lt;&gt;"",K29&lt;&gt;"Full Refresher"),'G2 FIL Reading Scoresheet'!$P31,"")</f>
        <v/>
      </c>
      <c r="P29" s="125" t="str">
        <f>'G2 FIL Reading Scoresheet'!$U31</f>
        <v/>
      </c>
      <c r="Q29" s="126" t="str">
        <f>CONCATENATE(IF(ISBLANK('G2 MT Reading Scoresheet'!V31),"",CONCATENATE("MT:",TRIM('G2 MT Reading Scoresheet'!V31)))," ",IF(ISBLANK('G2 FIL Reading Scoresheet'!V31),"",CONCATENATE("FIL:",TRIM('G2 FIL Reading Scoresheet'!V31))))</f>
        <v/>
      </c>
    </row>
    <row r="30" spans="1:17">
      <c r="A30" s="112">
        <v>22</v>
      </c>
      <c r="B30" s="113" t="str">
        <f>IF('G2 MT Reading Scoresheet'!B32&lt;&gt;"",'G2 MT Reading Scoresheet'!B32,"")</f>
        <v/>
      </c>
      <c r="C30" s="114" t="str">
        <f>IF('G2 MT Reading Scoresheet'!C32&lt;&gt;"",'G2 MT Reading Scoresheet'!C32,"")</f>
        <v/>
      </c>
      <c r="D30" s="115" t="str">
        <f>IF('G2 MT Reading Scoresheet'!D32&lt;&gt;"",'G2 MT Reading Scoresheet'!D32,"")</f>
        <v/>
      </c>
      <c r="E30" s="110" t="str">
        <f>'G2 MT Reading Scoresheet'!$J32</f>
        <v/>
      </c>
      <c r="F30" s="111" t="str">
        <f>IF(C30&lt;&gt;"",'G2 MT Reading Scoresheet'!$I32/30,"")</f>
        <v/>
      </c>
      <c r="G30" s="111" t="str">
        <f>IF(AND($C30&lt;&gt;"",$E30&lt;&gt;"Full Refresher"),'G2 MT Reading Scoresheet'!$Q32,"")</f>
        <v/>
      </c>
      <c r="H30" s="111" t="str">
        <f>IF(AND(C30&lt;&gt;"",E30&lt;&gt;"Full Refresher"),'G2 MT Reading Scoresheet'!$R32/6,"")</f>
        <v/>
      </c>
      <c r="I30" s="110" t="str">
        <f>IF(AND(D30&lt;&gt;"",F30&lt;&gt;"Full Refresher"),'G2 MT Reading Scoresheet'!$P32,"")</f>
        <v/>
      </c>
      <c r="J30" s="124" t="str">
        <f>'G2 MT Reading Scoresheet'!$U32</f>
        <v/>
      </c>
      <c r="K30" s="121" t="str">
        <f>'G2 FIL Reading Scoresheet'!$J32</f>
        <v/>
      </c>
      <c r="L30" s="122" t="str">
        <f>IF($C30&lt;&gt;"",'G2 FIL Reading Scoresheet'!$I32/30,"")</f>
        <v/>
      </c>
      <c r="M30" s="122" t="str">
        <f>IF(AND($C30&lt;&gt;"",$K30&lt;&gt;"Full Refresher"),'G2 FIL Reading Scoresheet'!$Q32,"")</f>
        <v/>
      </c>
      <c r="N30" s="122" t="str">
        <f>IF(AND($C30&lt;&gt;"",K30&lt;&gt;"Full Refresher"),'G2 FIL Reading Scoresheet'!$R32/6,"")</f>
        <v/>
      </c>
      <c r="O30" s="121" t="str">
        <f>IF(AND(C30&lt;&gt;"",K30&lt;&gt;"Full Refresher"),'G2 FIL Reading Scoresheet'!$P32,"")</f>
        <v/>
      </c>
      <c r="P30" s="125" t="str">
        <f>'G2 FIL Reading Scoresheet'!$U32</f>
        <v/>
      </c>
      <c r="Q30" s="127" t="str">
        <f>CONCATENATE(IF(ISBLANK('G2 MT Reading Scoresheet'!V32),"",CONCATENATE("MT:",TRIM('G2 MT Reading Scoresheet'!V32)))," ",IF(ISBLANK('G2 FIL Reading Scoresheet'!V32),"",CONCATENATE("FIL:",TRIM('G2 FIL Reading Scoresheet'!V32))))</f>
        <v/>
      </c>
    </row>
    <row r="31" spans="1:17">
      <c r="A31" s="106">
        <v>23</v>
      </c>
      <c r="B31" s="107" t="str">
        <f>IF('G2 MT Reading Scoresheet'!B33&lt;&gt;"",'G2 MT Reading Scoresheet'!B33,"")</f>
        <v/>
      </c>
      <c r="C31" s="108" t="str">
        <f>IF('G2 MT Reading Scoresheet'!C33&lt;&gt;"",'G2 MT Reading Scoresheet'!C33,"")</f>
        <v/>
      </c>
      <c r="D31" s="109" t="str">
        <f>IF('G2 MT Reading Scoresheet'!D33&lt;&gt;"",'G2 MT Reading Scoresheet'!D33,"")</f>
        <v/>
      </c>
      <c r="E31" s="110" t="str">
        <f>'G2 MT Reading Scoresheet'!$J33</f>
        <v/>
      </c>
      <c r="F31" s="111" t="str">
        <f>IF(C31&lt;&gt;"",'G2 MT Reading Scoresheet'!$I33/30,"")</f>
        <v/>
      </c>
      <c r="G31" s="111" t="str">
        <f>IF(AND($C31&lt;&gt;"",$E31&lt;&gt;"Full Refresher"),'G2 MT Reading Scoresheet'!$Q33,"")</f>
        <v/>
      </c>
      <c r="H31" s="111" t="str">
        <f>IF(AND(C31&lt;&gt;"",E31&lt;&gt;"Full Refresher"),'G2 MT Reading Scoresheet'!$R33/6,"")</f>
        <v/>
      </c>
      <c r="I31" s="110" t="str">
        <f>IF(AND(D31&lt;&gt;"",F31&lt;&gt;"Full Refresher"),'G2 MT Reading Scoresheet'!$P33,"")</f>
        <v/>
      </c>
      <c r="J31" s="124" t="str">
        <f>'G2 MT Reading Scoresheet'!$U33</f>
        <v/>
      </c>
      <c r="K31" s="121" t="str">
        <f>'G2 FIL Reading Scoresheet'!$J33</f>
        <v/>
      </c>
      <c r="L31" s="122" t="str">
        <f>IF($C31&lt;&gt;"",'G2 FIL Reading Scoresheet'!$I33/30,"")</f>
        <v/>
      </c>
      <c r="M31" s="122" t="str">
        <f>IF(AND($C31&lt;&gt;"",$K31&lt;&gt;"Full Refresher"),'G2 FIL Reading Scoresheet'!$Q33,"")</f>
        <v/>
      </c>
      <c r="N31" s="122" t="str">
        <f>IF(AND($C31&lt;&gt;"",K31&lt;&gt;"Full Refresher"),'G2 FIL Reading Scoresheet'!$R33/6,"")</f>
        <v/>
      </c>
      <c r="O31" s="121" t="str">
        <f>IF(AND(C31&lt;&gt;"",K31&lt;&gt;"Full Refresher"),'G2 FIL Reading Scoresheet'!$P33,"")</f>
        <v/>
      </c>
      <c r="P31" s="125" t="str">
        <f>'G2 FIL Reading Scoresheet'!$U33</f>
        <v/>
      </c>
      <c r="Q31" s="126" t="str">
        <f>CONCATENATE(IF(ISBLANK('G2 MT Reading Scoresheet'!V33),"",CONCATENATE("MT:",TRIM('G2 MT Reading Scoresheet'!V33)))," ",IF(ISBLANK('G2 FIL Reading Scoresheet'!V33),"",CONCATENATE("FIL:",TRIM('G2 FIL Reading Scoresheet'!V33))))</f>
        <v/>
      </c>
    </row>
    <row r="32" spans="1:17">
      <c r="A32" s="112">
        <v>24</v>
      </c>
      <c r="B32" s="113" t="str">
        <f>IF('G2 MT Reading Scoresheet'!B34&lt;&gt;"",'G2 MT Reading Scoresheet'!B34,"")</f>
        <v/>
      </c>
      <c r="C32" s="114" t="str">
        <f>IF('G2 MT Reading Scoresheet'!C34&lt;&gt;"",'G2 MT Reading Scoresheet'!C34,"")</f>
        <v/>
      </c>
      <c r="D32" s="115" t="str">
        <f>IF('G2 MT Reading Scoresheet'!D34&lt;&gt;"",'G2 MT Reading Scoresheet'!D34,"")</f>
        <v/>
      </c>
      <c r="E32" s="110" t="str">
        <f>'G2 MT Reading Scoresheet'!$J34</f>
        <v/>
      </c>
      <c r="F32" s="111" t="str">
        <f>IF(C32&lt;&gt;"",'G2 MT Reading Scoresheet'!$I34/30,"")</f>
        <v/>
      </c>
      <c r="G32" s="111" t="str">
        <f>IF(AND($C32&lt;&gt;"",$E32&lt;&gt;"Full Refresher"),'G2 MT Reading Scoresheet'!$Q34,"")</f>
        <v/>
      </c>
      <c r="H32" s="111" t="str">
        <f>IF(AND(C32&lt;&gt;"",E32&lt;&gt;"Full Refresher"),'G2 MT Reading Scoresheet'!$R34/6,"")</f>
        <v/>
      </c>
      <c r="I32" s="110" t="str">
        <f>IF(AND(D32&lt;&gt;"",F32&lt;&gt;"Full Refresher"),'G2 MT Reading Scoresheet'!$P34,"")</f>
        <v/>
      </c>
      <c r="J32" s="124" t="str">
        <f>'G2 MT Reading Scoresheet'!$U34</f>
        <v/>
      </c>
      <c r="K32" s="121" t="str">
        <f>'G2 FIL Reading Scoresheet'!$J34</f>
        <v/>
      </c>
      <c r="L32" s="122" t="str">
        <f>IF($C32&lt;&gt;"",'G2 FIL Reading Scoresheet'!$I34/30,"")</f>
        <v/>
      </c>
      <c r="M32" s="122" t="str">
        <f>IF(AND($C32&lt;&gt;"",$K32&lt;&gt;"Full Refresher"),'G2 FIL Reading Scoresheet'!$Q34,"")</f>
        <v/>
      </c>
      <c r="N32" s="122" t="str">
        <f>IF(AND($C32&lt;&gt;"",K32&lt;&gt;"Full Refresher"),'G2 FIL Reading Scoresheet'!$R34/6,"")</f>
        <v/>
      </c>
      <c r="O32" s="121" t="str">
        <f>IF(AND(C32&lt;&gt;"",K32&lt;&gt;"Full Refresher"),'G2 FIL Reading Scoresheet'!$P34,"")</f>
        <v/>
      </c>
      <c r="P32" s="125" t="str">
        <f>'G2 FIL Reading Scoresheet'!$U34</f>
        <v/>
      </c>
      <c r="Q32" s="127" t="str">
        <f>CONCATENATE(IF(ISBLANK('G2 MT Reading Scoresheet'!V34),"",CONCATENATE("MT:",TRIM('G2 MT Reading Scoresheet'!V34)))," ",IF(ISBLANK('G2 FIL Reading Scoresheet'!V34),"",CONCATENATE("FIL:",TRIM('G2 FIL Reading Scoresheet'!V34))))</f>
        <v/>
      </c>
    </row>
    <row r="33" spans="1:17">
      <c r="A33" s="106">
        <v>25</v>
      </c>
      <c r="B33" s="107" t="str">
        <f>IF('G2 MT Reading Scoresheet'!B35&lt;&gt;"",'G2 MT Reading Scoresheet'!B35,"")</f>
        <v/>
      </c>
      <c r="C33" s="108" t="str">
        <f>IF('G2 MT Reading Scoresheet'!C35&lt;&gt;"",'G2 MT Reading Scoresheet'!C35,"")</f>
        <v/>
      </c>
      <c r="D33" s="109" t="str">
        <f>IF('G2 MT Reading Scoresheet'!D35&lt;&gt;"",'G2 MT Reading Scoresheet'!D35,"")</f>
        <v/>
      </c>
      <c r="E33" s="110" t="str">
        <f>'G2 MT Reading Scoresheet'!$J35</f>
        <v/>
      </c>
      <c r="F33" s="111" t="str">
        <f>IF(C33&lt;&gt;"",'G2 MT Reading Scoresheet'!$I35/30,"")</f>
        <v/>
      </c>
      <c r="G33" s="111" t="str">
        <f>IF(AND($C33&lt;&gt;"",$E33&lt;&gt;"Full Refresher"),'G2 MT Reading Scoresheet'!$Q35,"")</f>
        <v/>
      </c>
      <c r="H33" s="111" t="str">
        <f>IF(AND(C33&lt;&gt;"",E33&lt;&gt;"Full Refresher"),'G2 MT Reading Scoresheet'!$R35/6,"")</f>
        <v/>
      </c>
      <c r="I33" s="110" t="str">
        <f>IF(AND(D33&lt;&gt;"",F33&lt;&gt;"Full Refresher"),'G2 MT Reading Scoresheet'!$P35,"")</f>
        <v/>
      </c>
      <c r="J33" s="124" t="str">
        <f>'G2 MT Reading Scoresheet'!$U35</f>
        <v/>
      </c>
      <c r="K33" s="121" t="str">
        <f>'G2 FIL Reading Scoresheet'!$J35</f>
        <v/>
      </c>
      <c r="L33" s="122" t="str">
        <f>IF($C33&lt;&gt;"",'G2 FIL Reading Scoresheet'!$I35/30,"")</f>
        <v/>
      </c>
      <c r="M33" s="122" t="str">
        <f>IF(AND($C33&lt;&gt;"",$K33&lt;&gt;"Full Refresher"),'G2 FIL Reading Scoresheet'!$Q35,"")</f>
        <v/>
      </c>
      <c r="N33" s="122" t="str">
        <f>IF(AND($C33&lt;&gt;"",K33&lt;&gt;"Full Refresher"),'G2 FIL Reading Scoresheet'!$R35/6,"")</f>
        <v/>
      </c>
      <c r="O33" s="121" t="str">
        <f>IF(AND(C33&lt;&gt;"",K33&lt;&gt;"Full Refresher"),'G2 FIL Reading Scoresheet'!$P35,"")</f>
        <v/>
      </c>
      <c r="P33" s="125" t="str">
        <f>'G2 FIL Reading Scoresheet'!$U35</f>
        <v/>
      </c>
      <c r="Q33" s="126" t="str">
        <f>CONCATENATE(IF(ISBLANK('G2 MT Reading Scoresheet'!V35),"",CONCATENATE("MT:",TRIM('G2 MT Reading Scoresheet'!V35)))," ",IF(ISBLANK('G2 FIL Reading Scoresheet'!V35),"",CONCATENATE("FIL:",TRIM('G2 FIL Reading Scoresheet'!V35))))</f>
        <v/>
      </c>
    </row>
    <row r="34" spans="1:17">
      <c r="A34" s="112">
        <v>26</v>
      </c>
      <c r="B34" s="113" t="str">
        <f>IF('G2 MT Reading Scoresheet'!B36&lt;&gt;"",'G2 MT Reading Scoresheet'!B36,"")</f>
        <v/>
      </c>
      <c r="C34" s="114" t="str">
        <f>IF('G2 MT Reading Scoresheet'!C36&lt;&gt;"",'G2 MT Reading Scoresheet'!C36,"")</f>
        <v/>
      </c>
      <c r="D34" s="115" t="str">
        <f>IF('G2 MT Reading Scoresheet'!D36&lt;&gt;"",'G2 MT Reading Scoresheet'!D36,"")</f>
        <v/>
      </c>
      <c r="E34" s="110" t="str">
        <f>'G2 MT Reading Scoresheet'!$J36</f>
        <v/>
      </c>
      <c r="F34" s="111" t="str">
        <f>IF(C34&lt;&gt;"",'G2 MT Reading Scoresheet'!$I36/30,"")</f>
        <v/>
      </c>
      <c r="G34" s="111" t="str">
        <f>IF(AND($C34&lt;&gt;"",$E34&lt;&gt;"Full Refresher"),'G2 MT Reading Scoresheet'!$Q36,"")</f>
        <v/>
      </c>
      <c r="H34" s="111" t="str">
        <f>IF(AND(C34&lt;&gt;"",E34&lt;&gt;"Full Refresher"),'G2 MT Reading Scoresheet'!$R36/6,"")</f>
        <v/>
      </c>
      <c r="I34" s="110" t="str">
        <f>IF(AND(D34&lt;&gt;"",F34&lt;&gt;"Full Refresher"),'G2 MT Reading Scoresheet'!$P36,"")</f>
        <v/>
      </c>
      <c r="J34" s="124" t="str">
        <f>'G2 MT Reading Scoresheet'!$U36</f>
        <v/>
      </c>
      <c r="K34" s="121" t="str">
        <f>'G2 FIL Reading Scoresheet'!$J36</f>
        <v/>
      </c>
      <c r="L34" s="122" t="str">
        <f>IF($C34&lt;&gt;"",'G2 FIL Reading Scoresheet'!$I36/30,"")</f>
        <v/>
      </c>
      <c r="M34" s="122" t="str">
        <f>IF(AND($C34&lt;&gt;"",$K34&lt;&gt;"Full Refresher"),'G2 FIL Reading Scoresheet'!$Q36,"")</f>
        <v/>
      </c>
      <c r="N34" s="122" t="str">
        <f>IF(AND($C34&lt;&gt;"",K34&lt;&gt;"Full Refresher"),'G2 FIL Reading Scoresheet'!$R36/6,"")</f>
        <v/>
      </c>
      <c r="O34" s="121" t="str">
        <f>IF(AND(C34&lt;&gt;"",K34&lt;&gt;"Full Refresher"),'G2 FIL Reading Scoresheet'!$P36,"")</f>
        <v/>
      </c>
      <c r="P34" s="125" t="str">
        <f>'G2 FIL Reading Scoresheet'!$U36</f>
        <v/>
      </c>
      <c r="Q34" s="127" t="str">
        <f>CONCATENATE(IF(ISBLANK('G2 MT Reading Scoresheet'!V36),"",CONCATENATE("MT:",TRIM('G2 MT Reading Scoresheet'!V36)))," ",IF(ISBLANK('G2 FIL Reading Scoresheet'!V36),"",CONCATENATE("FIL:",TRIM('G2 FIL Reading Scoresheet'!V36))))</f>
        <v/>
      </c>
    </row>
    <row r="35" spans="1:17">
      <c r="A35" s="106">
        <v>27</v>
      </c>
      <c r="B35" s="107" t="str">
        <f>IF('G2 MT Reading Scoresheet'!B37&lt;&gt;"",'G2 MT Reading Scoresheet'!B37,"")</f>
        <v/>
      </c>
      <c r="C35" s="108" t="str">
        <f>IF('G2 MT Reading Scoresheet'!C37&lt;&gt;"",'G2 MT Reading Scoresheet'!C37,"")</f>
        <v/>
      </c>
      <c r="D35" s="109" t="str">
        <f>IF('G2 MT Reading Scoresheet'!D37&lt;&gt;"",'G2 MT Reading Scoresheet'!D37,"")</f>
        <v/>
      </c>
      <c r="E35" s="110" t="str">
        <f>'G2 MT Reading Scoresheet'!$J37</f>
        <v/>
      </c>
      <c r="F35" s="111" t="str">
        <f>IF(C35&lt;&gt;"",'G2 MT Reading Scoresheet'!$I37/30,"")</f>
        <v/>
      </c>
      <c r="G35" s="111" t="str">
        <f>IF(AND($C35&lt;&gt;"",$E35&lt;&gt;"Full Refresher"),'G2 MT Reading Scoresheet'!$Q37,"")</f>
        <v/>
      </c>
      <c r="H35" s="111" t="str">
        <f>IF(AND(C35&lt;&gt;"",E35&lt;&gt;"Full Refresher"),'G2 MT Reading Scoresheet'!$R37/6,"")</f>
        <v/>
      </c>
      <c r="I35" s="110" t="str">
        <f>IF(AND(D35&lt;&gt;"",F35&lt;&gt;"Full Refresher"),'G2 MT Reading Scoresheet'!$P37,"")</f>
        <v/>
      </c>
      <c r="J35" s="124" t="str">
        <f>'G2 MT Reading Scoresheet'!$U37</f>
        <v/>
      </c>
      <c r="K35" s="121" t="str">
        <f>'G2 FIL Reading Scoresheet'!$J37</f>
        <v/>
      </c>
      <c r="L35" s="122" t="str">
        <f>IF($C35&lt;&gt;"",'G2 FIL Reading Scoresheet'!$I37/30,"")</f>
        <v/>
      </c>
      <c r="M35" s="122" t="str">
        <f>IF(AND($C35&lt;&gt;"",$K35&lt;&gt;"Full Refresher"),'G2 FIL Reading Scoresheet'!$Q37,"")</f>
        <v/>
      </c>
      <c r="N35" s="122" t="str">
        <f>IF(AND($C35&lt;&gt;"",K35&lt;&gt;"Full Refresher"),'G2 FIL Reading Scoresheet'!$R37/6,"")</f>
        <v/>
      </c>
      <c r="O35" s="121" t="str">
        <f>IF(AND(C35&lt;&gt;"",K35&lt;&gt;"Full Refresher"),'G2 FIL Reading Scoresheet'!$P37,"")</f>
        <v/>
      </c>
      <c r="P35" s="125" t="str">
        <f>'G2 FIL Reading Scoresheet'!$U37</f>
        <v/>
      </c>
      <c r="Q35" s="126" t="str">
        <f>CONCATENATE(IF(ISBLANK('G2 MT Reading Scoresheet'!V37),"",CONCATENATE("MT:",TRIM('G2 MT Reading Scoresheet'!V37)))," ",IF(ISBLANK('G2 FIL Reading Scoresheet'!V37),"",CONCATENATE("FIL:",TRIM('G2 FIL Reading Scoresheet'!V37))))</f>
        <v/>
      </c>
    </row>
    <row r="36" spans="1:17">
      <c r="A36" s="112">
        <v>28</v>
      </c>
      <c r="B36" s="113" t="str">
        <f>IF('G2 MT Reading Scoresheet'!B38&lt;&gt;"",'G2 MT Reading Scoresheet'!B38,"")</f>
        <v/>
      </c>
      <c r="C36" s="114" t="str">
        <f>IF('G2 MT Reading Scoresheet'!C38&lt;&gt;"",'G2 MT Reading Scoresheet'!C38,"")</f>
        <v/>
      </c>
      <c r="D36" s="115" t="str">
        <f>IF('G2 MT Reading Scoresheet'!D38&lt;&gt;"",'G2 MT Reading Scoresheet'!D38,"")</f>
        <v/>
      </c>
      <c r="E36" s="110" t="str">
        <f>'G2 MT Reading Scoresheet'!$J38</f>
        <v/>
      </c>
      <c r="F36" s="111" t="str">
        <f>IF(C36&lt;&gt;"",'G2 MT Reading Scoresheet'!$I38/30,"")</f>
        <v/>
      </c>
      <c r="G36" s="111" t="str">
        <f>IF(AND($C36&lt;&gt;"",$E36&lt;&gt;"Full Refresher"),'G2 MT Reading Scoresheet'!$Q38,"")</f>
        <v/>
      </c>
      <c r="H36" s="111" t="str">
        <f>IF(AND(C36&lt;&gt;"",E36&lt;&gt;"Full Refresher"),'G2 MT Reading Scoresheet'!$R38/6,"")</f>
        <v/>
      </c>
      <c r="I36" s="110" t="str">
        <f>IF(AND(D36&lt;&gt;"",F36&lt;&gt;"Full Refresher"),'G2 MT Reading Scoresheet'!$P38,"")</f>
        <v/>
      </c>
      <c r="J36" s="124" t="str">
        <f>'G2 MT Reading Scoresheet'!$U38</f>
        <v/>
      </c>
      <c r="K36" s="121" t="str">
        <f>'G2 FIL Reading Scoresheet'!$J38</f>
        <v/>
      </c>
      <c r="L36" s="122" t="str">
        <f>IF($C36&lt;&gt;"",'G2 FIL Reading Scoresheet'!$I38/30,"")</f>
        <v/>
      </c>
      <c r="M36" s="122" t="str">
        <f>IF(AND($C36&lt;&gt;"",$K36&lt;&gt;"Full Refresher"),'G2 FIL Reading Scoresheet'!$Q38,"")</f>
        <v/>
      </c>
      <c r="N36" s="122" t="str">
        <f>IF(AND($C36&lt;&gt;"",K36&lt;&gt;"Full Refresher"),'G2 FIL Reading Scoresheet'!$R38/6,"")</f>
        <v/>
      </c>
      <c r="O36" s="121" t="str">
        <f>IF(AND(C36&lt;&gt;"",K36&lt;&gt;"Full Refresher"),'G2 FIL Reading Scoresheet'!$P38,"")</f>
        <v/>
      </c>
      <c r="P36" s="125" t="str">
        <f>'G2 FIL Reading Scoresheet'!$U38</f>
        <v/>
      </c>
      <c r="Q36" s="127" t="str">
        <f>CONCATENATE(IF(ISBLANK('G2 MT Reading Scoresheet'!V38),"",CONCATENATE("MT:",TRIM('G2 MT Reading Scoresheet'!V38)))," ",IF(ISBLANK('G2 FIL Reading Scoresheet'!V38),"",CONCATENATE("FIL:",TRIM('G2 FIL Reading Scoresheet'!V38))))</f>
        <v/>
      </c>
    </row>
    <row r="37" spans="1:17">
      <c r="A37" s="106">
        <v>29</v>
      </c>
      <c r="B37" s="107" t="str">
        <f>IF('G2 MT Reading Scoresheet'!B39&lt;&gt;"",'G2 MT Reading Scoresheet'!B39,"")</f>
        <v/>
      </c>
      <c r="C37" s="108" t="str">
        <f>IF('G2 MT Reading Scoresheet'!C39&lt;&gt;"",'G2 MT Reading Scoresheet'!C39,"")</f>
        <v/>
      </c>
      <c r="D37" s="109" t="str">
        <f>IF('G2 MT Reading Scoresheet'!D39&lt;&gt;"",'G2 MT Reading Scoresheet'!D39,"")</f>
        <v/>
      </c>
      <c r="E37" s="110" t="str">
        <f>'G2 MT Reading Scoresheet'!$J39</f>
        <v/>
      </c>
      <c r="F37" s="111" t="str">
        <f>IF(C37&lt;&gt;"",'G2 MT Reading Scoresheet'!$I39/30,"")</f>
        <v/>
      </c>
      <c r="G37" s="111" t="str">
        <f>IF(AND($C37&lt;&gt;"",$E37&lt;&gt;"Full Refresher"),'G2 MT Reading Scoresheet'!$Q39,"")</f>
        <v/>
      </c>
      <c r="H37" s="111" t="str">
        <f>IF(AND(C37&lt;&gt;"",E37&lt;&gt;"Full Refresher"),'G2 MT Reading Scoresheet'!$R39/6,"")</f>
        <v/>
      </c>
      <c r="I37" s="110" t="str">
        <f>IF(AND(D37&lt;&gt;"",F37&lt;&gt;"Full Refresher"),'G2 MT Reading Scoresheet'!$P39,"")</f>
        <v/>
      </c>
      <c r="J37" s="124" t="str">
        <f>'G2 MT Reading Scoresheet'!$U39</f>
        <v/>
      </c>
      <c r="K37" s="121" t="str">
        <f>'G2 FIL Reading Scoresheet'!$J39</f>
        <v/>
      </c>
      <c r="L37" s="122" t="str">
        <f>IF($C37&lt;&gt;"",'G2 FIL Reading Scoresheet'!$I39/30,"")</f>
        <v/>
      </c>
      <c r="M37" s="122" t="str">
        <f>IF(AND($C37&lt;&gt;"",$K37&lt;&gt;"Full Refresher"),'G2 FIL Reading Scoresheet'!$Q39,"")</f>
        <v/>
      </c>
      <c r="N37" s="122" t="str">
        <f>IF(AND($C37&lt;&gt;"",K37&lt;&gt;"Full Refresher"),'G2 FIL Reading Scoresheet'!$R39/6,"")</f>
        <v/>
      </c>
      <c r="O37" s="121" t="str">
        <f>IF(AND(C37&lt;&gt;"",K37&lt;&gt;"Full Refresher"),'G2 FIL Reading Scoresheet'!$P39,"")</f>
        <v/>
      </c>
      <c r="P37" s="125" t="str">
        <f>'G2 FIL Reading Scoresheet'!$U39</f>
        <v/>
      </c>
      <c r="Q37" s="126" t="str">
        <f>CONCATENATE(IF(ISBLANK('G2 MT Reading Scoresheet'!V39),"",CONCATENATE("MT:",TRIM('G2 MT Reading Scoresheet'!V39)))," ",IF(ISBLANK('G2 FIL Reading Scoresheet'!V39),"",CONCATENATE("FIL:",TRIM('G2 FIL Reading Scoresheet'!V39))))</f>
        <v/>
      </c>
    </row>
    <row r="38" spans="1:17">
      <c r="A38" s="112">
        <v>30</v>
      </c>
      <c r="B38" s="113" t="str">
        <f>IF('G2 MT Reading Scoresheet'!B40&lt;&gt;"",'G2 MT Reading Scoresheet'!B40,"")</f>
        <v/>
      </c>
      <c r="C38" s="114" t="str">
        <f>IF('G2 MT Reading Scoresheet'!C40&lt;&gt;"",'G2 MT Reading Scoresheet'!C40,"")</f>
        <v/>
      </c>
      <c r="D38" s="115" t="str">
        <f>IF('G2 MT Reading Scoresheet'!D40&lt;&gt;"",'G2 MT Reading Scoresheet'!D40,"")</f>
        <v/>
      </c>
      <c r="E38" s="110" t="str">
        <f>'G2 MT Reading Scoresheet'!$J40</f>
        <v/>
      </c>
      <c r="F38" s="111" t="str">
        <f>IF(C38&lt;&gt;"",'G2 MT Reading Scoresheet'!$I40/30,"")</f>
        <v/>
      </c>
      <c r="G38" s="111" t="str">
        <f>IF(AND($C38&lt;&gt;"",$E38&lt;&gt;"Full Refresher"),'G2 MT Reading Scoresheet'!$Q40,"")</f>
        <v/>
      </c>
      <c r="H38" s="111" t="str">
        <f>IF(AND(C38&lt;&gt;"",E38&lt;&gt;"Full Refresher"),'G2 MT Reading Scoresheet'!$R40/6,"")</f>
        <v/>
      </c>
      <c r="I38" s="110" t="str">
        <f>IF(AND(D38&lt;&gt;"",F38&lt;&gt;"Full Refresher"),'G2 MT Reading Scoresheet'!$P40,"")</f>
        <v/>
      </c>
      <c r="J38" s="124" t="str">
        <f>'G2 MT Reading Scoresheet'!$U40</f>
        <v/>
      </c>
      <c r="K38" s="121" t="str">
        <f>'G2 FIL Reading Scoresheet'!$J40</f>
        <v/>
      </c>
      <c r="L38" s="122" t="str">
        <f>IF($C38&lt;&gt;"",'G2 FIL Reading Scoresheet'!$I40/30,"")</f>
        <v/>
      </c>
      <c r="M38" s="122" t="str">
        <f>IF(AND($C38&lt;&gt;"",$K38&lt;&gt;"Full Refresher"),'G2 FIL Reading Scoresheet'!$Q40,"")</f>
        <v/>
      </c>
      <c r="N38" s="122" t="str">
        <f>IF(AND($C38&lt;&gt;"",K38&lt;&gt;"Full Refresher"),'G2 FIL Reading Scoresheet'!$R40/6,"")</f>
        <v/>
      </c>
      <c r="O38" s="121" t="str">
        <f>IF(AND(C38&lt;&gt;"",K38&lt;&gt;"Full Refresher"),'G2 FIL Reading Scoresheet'!$P40,"")</f>
        <v/>
      </c>
      <c r="P38" s="125" t="str">
        <f>'G2 FIL Reading Scoresheet'!$U40</f>
        <v/>
      </c>
      <c r="Q38" s="127" t="str">
        <f>CONCATENATE(IF(ISBLANK('G2 MT Reading Scoresheet'!V40),"",CONCATENATE("MT:",TRIM('G2 MT Reading Scoresheet'!V40)))," ",IF(ISBLANK('G2 FIL Reading Scoresheet'!V40),"",CONCATENATE("FIL:",TRIM('G2 FIL Reading Scoresheet'!V40))))</f>
        <v/>
      </c>
    </row>
    <row r="39" spans="1:17">
      <c r="A39" s="106">
        <v>31</v>
      </c>
      <c r="B39" s="107" t="str">
        <f>IF('G2 MT Reading Scoresheet'!B41&lt;&gt;"",'G2 MT Reading Scoresheet'!B41,"")</f>
        <v/>
      </c>
      <c r="C39" s="108" t="str">
        <f>IF('G2 MT Reading Scoresheet'!C41&lt;&gt;"",'G2 MT Reading Scoresheet'!C41,"")</f>
        <v/>
      </c>
      <c r="D39" s="109" t="str">
        <f>IF('G2 MT Reading Scoresheet'!D41&lt;&gt;"",'G2 MT Reading Scoresheet'!D41,"")</f>
        <v/>
      </c>
      <c r="E39" s="110" t="str">
        <f>'G2 MT Reading Scoresheet'!$J41</f>
        <v/>
      </c>
      <c r="F39" s="111" t="str">
        <f>IF(C39&lt;&gt;"",'G2 MT Reading Scoresheet'!$I41/30,"")</f>
        <v/>
      </c>
      <c r="G39" s="111" t="str">
        <f>IF(AND($C39&lt;&gt;"",$E39&lt;&gt;"Full Refresher"),'G2 MT Reading Scoresheet'!$Q41,"")</f>
        <v/>
      </c>
      <c r="H39" s="111" t="str">
        <f>IF(AND(C39&lt;&gt;"",E39&lt;&gt;"Full Refresher"),'G2 MT Reading Scoresheet'!$R41/6,"")</f>
        <v/>
      </c>
      <c r="I39" s="110" t="str">
        <f>IF(AND(D39&lt;&gt;"",F39&lt;&gt;"Full Refresher"),'G2 MT Reading Scoresheet'!$P41,"")</f>
        <v/>
      </c>
      <c r="J39" s="124" t="str">
        <f>'G2 MT Reading Scoresheet'!$U41</f>
        <v/>
      </c>
      <c r="K39" s="121" t="str">
        <f>'G2 FIL Reading Scoresheet'!$J41</f>
        <v/>
      </c>
      <c r="L39" s="122" t="str">
        <f>IF($C39&lt;&gt;"",'G2 FIL Reading Scoresheet'!$I41/30,"")</f>
        <v/>
      </c>
      <c r="M39" s="122" t="str">
        <f>IF(AND($C39&lt;&gt;"",$K39&lt;&gt;"Full Refresher"),'G2 FIL Reading Scoresheet'!$Q41,"")</f>
        <v/>
      </c>
      <c r="N39" s="122" t="str">
        <f>IF(AND($C39&lt;&gt;"",K39&lt;&gt;"Full Refresher"),'G2 FIL Reading Scoresheet'!$R41/6,"")</f>
        <v/>
      </c>
      <c r="O39" s="121" t="str">
        <f>IF(AND(C39&lt;&gt;"",K39&lt;&gt;"Full Refresher"),'G2 FIL Reading Scoresheet'!$P41,"")</f>
        <v/>
      </c>
      <c r="P39" s="125" t="str">
        <f>'G2 FIL Reading Scoresheet'!$U41</f>
        <v/>
      </c>
      <c r="Q39" s="126" t="str">
        <f>CONCATENATE(IF(ISBLANK('G2 MT Reading Scoresheet'!V41),"",CONCATENATE("MT:",TRIM('G2 MT Reading Scoresheet'!V41)))," ",IF(ISBLANK('G2 FIL Reading Scoresheet'!V41),"",CONCATENATE("FIL:",TRIM('G2 FIL Reading Scoresheet'!V41))))</f>
        <v/>
      </c>
    </row>
    <row r="40" spans="1:17">
      <c r="A40" s="112">
        <v>32</v>
      </c>
      <c r="B40" s="113" t="str">
        <f>IF('G2 MT Reading Scoresheet'!B42&lt;&gt;"",'G2 MT Reading Scoresheet'!B42,"")</f>
        <v/>
      </c>
      <c r="C40" s="114" t="str">
        <f>IF('G2 MT Reading Scoresheet'!C42&lt;&gt;"",'G2 MT Reading Scoresheet'!C42,"")</f>
        <v/>
      </c>
      <c r="D40" s="115" t="str">
        <f>IF('G2 MT Reading Scoresheet'!D42&lt;&gt;"",'G2 MT Reading Scoresheet'!D42,"")</f>
        <v/>
      </c>
      <c r="E40" s="110" t="str">
        <f>'G2 MT Reading Scoresheet'!$J42</f>
        <v/>
      </c>
      <c r="F40" s="111" t="str">
        <f>IF(C40&lt;&gt;"",'G2 MT Reading Scoresheet'!$I42/30,"")</f>
        <v/>
      </c>
      <c r="G40" s="111" t="str">
        <f>IF(AND($C40&lt;&gt;"",$E40&lt;&gt;"Full Refresher"),'G2 MT Reading Scoresheet'!$Q42,"")</f>
        <v/>
      </c>
      <c r="H40" s="111" t="str">
        <f>IF(AND(C40&lt;&gt;"",E40&lt;&gt;"Full Refresher"),'G2 MT Reading Scoresheet'!$R42/6,"")</f>
        <v/>
      </c>
      <c r="I40" s="110" t="str">
        <f>IF(AND(D40&lt;&gt;"",F40&lt;&gt;"Full Refresher"),'G2 MT Reading Scoresheet'!$P42,"")</f>
        <v/>
      </c>
      <c r="J40" s="124" t="str">
        <f>'G2 MT Reading Scoresheet'!$U42</f>
        <v/>
      </c>
      <c r="K40" s="121" t="str">
        <f>'G2 FIL Reading Scoresheet'!$J42</f>
        <v/>
      </c>
      <c r="L40" s="122" t="str">
        <f>IF($C40&lt;&gt;"",'G2 FIL Reading Scoresheet'!$I42/30,"")</f>
        <v/>
      </c>
      <c r="M40" s="122" t="str">
        <f>IF(AND($C40&lt;&gt;"",$K40&lt;&gt;"Full Refresher"),'G2 FIL Reading Scoresheet'!$Q42,"")</f>
        <v/>
      </c>
      <c r="N40" s="122" t="str">
        <f>IF(AND($C40&lt;&gt;"",K40&lt;&gt;"Full Refresher"),'G2 FIL Reading Scoresheet'!$R42/6,"")</f>
        <v/>
      </c>
      <c r="O40" s="121" t="str">
        <f>IF(AND(C40&lt;&gt;"",K40&lt;&gt;"Full Refresher"),'G2 FIL Reading Scoresheet'!$P42,"")</f>
        <v/>
      </c>
      <c r="P40" s="125" t="str">
        <f>'G2 FIL Reading Scoresheet'!$U42</f>
        <v/>
      </c>
      <c r="Q40" s="127" t="str">
        <f>CONCATENATE(IF(ISBLANK('G2 MT Reading Scoresheet'!V42),"",CONCATENATE("MT:",TRIM('G2 MT Reading Scoresheet'!V42)))," ",IF(ISBLANK('G2 FIL Reading Scoresheet'!V42),"",CONCATENATE("FIL:",TRIM('G2 FIL Reading Scoresheet'!V42))))</f>
        <v/>
      </c>
    </row>
    <row r="41" spans="1:17">
      <c r="A41" s="106">
        <v>33</v>
      </c>
      <c r="B41" s="107" t="str">
        <f>IF('G2 MT Reading Scoresheet'!B43&lt;&gt;"",'G2 MT Reading Scoresheet'!B43,"")</f>
        <v/>
      </c>
      <c r="C41" s="108" t="str">
        <f>IF('G2 MT Reading Scoresheet'!C43&lt;&gt;"",'G2 MT Reading Scoresheet'!C43,"")</f>
        <v/>
      </c>
      <c r="D41" s="109" t="str">
        <f>IF('G2 MT Reading Scoresheet'!D43&lt;&gt;"",'G2 MT Reading Scoresheet'!D43,"")</f>
        <v/>
      </c>
      <c r="E41" s="110" t="str">
        <f>'G2 MT Reading Scoresheet'!$J43</f>
        <v/>
      </c>
      <c r="F41" s="111" t="str">
        <f>IF(C41&lt;&gt;"",'G2 MT Reading Scoresheet'!$I43/30,"")</f>
        <v/>
      </c>
      <c r="G41" s="111" t="str">
        <f>IF(AND($C41&lt;&gt;"",$E41&lt;&gt;"Full Refresher"),'G2 MT Reading Scoresheet'!$Q43,"")</f>
        <v/>
      </c>
      <c r="H41" s="111" t="str">
        <f>IF(AND(C41&lt;&gt;"",E41&lt;&gt;"Full Refresher"),'G2 MT Reading Scoresheet'!$R43/6,"")</f>
        <v/>
      </c>
      <c r="I41" s="110" t="str">
        <f>IF(AND(D41&lt;&gt;"",F41&lt;&gt;"Full Refresher"),'G2 MT Reading Scoresheet'!$P43,"")</f>
        <v/>
      </c>
      <c r="J41" s="124" t="str">
        <f>'G2 MT Reading Scoresheet'!$U43</f>
        <v/>
      </c>
      <c r="K41" s="121" t="str">
        <f>'G2 FIL Reading Scoresheet'!$J43</f>
        <v/>
      </c>
      <c r="L41" s="122" t="str">
        <f>IF($C41&lt;&gt;"",'G2 FIL Reading Scoresheet'!$I43/30,"")</f>
        <v/>
      </c>
      <c r="M41" s="122" t="str">
        <f>IF(AND($C41&lt;&gt;"",$K41&lt;&gt;"Full Refresher"),'G2 FIL Reading Scoresheet'!$Q43,"")</f>
        <v/>
      </c>
      <c r="N41" s="122" t="str">
        <f>IF(AND($C41&lt;&gt;"",K41&lt;&gt;"Full Refresher"),'G2 FIL Reading Scoresheet'!$R43/6,"")</f>
        <v/>
      </c>
      <c r="O41" s="121" t="str">
        <f>IF(AND(C41&lt;&gt;"",K41&lt;&gt;"Full Refresher"),'G2 FIL Reading Scoresheet'!$P43,"")</f>
        <v/>
      </c>
      <c r="P41" s="125" t="str">
        <f>'G2 FIL Reading Scoresheet'!$U43</f>
        <v/>
      </c>
      <c r="Q41" s="126" t="str">
        <f>CONCATENATE(IF(ISBLANK('G2 MT Reading Scoresheet'!V43),"",CONCATENATE("MT:",TRIM('G2 MT Reading Scoresheet'!V43)))," ",IF(ISBLANK('G2 FIL Reading Scoresheet'!V43),"",CONCATENATE("FIL:",TRIM('G2 FIL Reading Scoresheet'!V43))))</f>
        <v/>
      </c>
    </row>
    <row r="42" spans="1:17">
      <c r="A42" s="112">
        <v>34</v>
      </c>
      <c r="B42" s="113" t="str">
        <f>IF('G2 MT Reading Scoresheet'!B44&lt;&gt;"",'G2 MT Reading Scoresheet'!B44,"")</f>
        <v/>
      </c>
      <c r="C42" s="114" t="str">
        <f>IF('G2 MT Reading Scoresheet'!C44&lt;&gt;"",'G2 MT Reading Scoresheet'!C44,"")</f>
        <v/>
      </c>
      <c r="D42" s="115" t="str">
        <f>IF('G2 MT Reading Scoresheet'!D44&lt;&gt;"",'G2 MT Reading Scoresheet'!D44,"")</f>
        <v/>
      </c>
      <c r="E42" s="110" t="str">
        <f>'G2 MT Reading Scoresheet'!$J44</f>
        <v/>
      </c>
      <c r="F42" s="111" t="str">
        <f>IF(C42&lt;&gt;"",'G2 MT Reading Scoresheet'!$I44/30,"")</f>
        <v/>
      </c>
      <c r="G42" s="111" t="str">
        <f>IF(AND($C42&lt;&gt;"",$E42&lt;&gt;"Full Refresher"),'G2 MT Reading Scoresheet'!$Q44,"")</f>
        <v/>
      </c>
      <c r="H42" s="111" t="str">
        <f>IF(AND(C42&lt;&gt;"",E42&lt;&gt;"Full Refresher"),'G2 MT Reading Scoresheet'!$R44/6,"")</f>
        <v/>
      </c>
      <c r="I42" s="110" t="str">
        <f>IF(AND(D42&lt;&gt;"",F42&lt;&gt;"Full Refresher"),'G2 MT Reading Scoresheet'!$P44,"")</f>
        <v/>
      </c>
      <c r="J42" s="124" t="str">
        <f>'G2 MT Reading Scoresheet'!$U44</f>
        <v/>
      </c>
      <c r="K42" s="121" t="str">
        <f>'G2 FIL Reading Scoresheet'!$J44</f>
        <v/>
      </c>
      <c r="L42" s="122" t="str">
        <f>IF($C42&lt;&gt;"",'G2 FIL Reading Scoresheet'!$I44/30,"")</f>
        <v/>
      </c>
      <c r="M42" s="122" t="str">
        <f>IF(AND($C42&lt;&gt;"",$K42&lt;&gt;"Full Refresher"),'G2 FIL Reading Scoresheet'!$Q44,"")</f>
        <v/>
      </c>
      <c r="N42" s="122" t="str">
        <f>IF(AND($C42&lt;&gt;"",K42&lt;&gt;"Full Refresher"),'G2 FIL Reading Scoresheet'!$R44/6,"")</f>
        <v/>
      </c>
      <c r="O42" s="121" t="str">
        <f>IF(AND(C42&lt;&gt;"",K42&lt;&gt;"Full Refresher"),'G2 FIL Reading Scoresheet'!$P44,"")</f>
        <v/>
      </c>
      <c r="P42" s="125" t="str">
        <f>'G2 FIL Reading Scoresheet'!$U44</f>
        <v/>
      </c>
      <c r="Q42" s="127" t="str">
        <f>CONCATENATE(IF(ISBLANK('G2 MT Reading Scoresheet'!V44),"",CONCATENATE("MT:",TRIM('G2 MT Reading Scoresheet'!V44)))," ",IF(ISBLANK('G2 FIL Reading Scoresheet'!V44),"",CONCATENATE("FIL:",TRIM('G2 FIL Reading Scoresheet'!V44))))</f>
        <v/>
      </c>
    </row>
    <row r="43" spans="1:17">
      <c r="A43" s="106">
        <v>35</v>
      </c>
      <c r="B43" s="107" t="str">
        <f>IF('G2 MT Reading Scoresheet'!B45&lt;&gt;"",'G2 MT Reading Scoresheet'!B45,"")</f>
        <v/>
      </c>
      <c r="C43" s="108" t="str">
        <f>IF('G2 MT Reading Scoresheet'!C45&lt;&gt;"",'G2 MT Reading Scoresheet'!C45,"")</f>
        <v/>
      </c>
      <c r="D43" s="109" t="str">
        <f>IF('G2 MT Reading Scoresheet'!D45&lt;&gt;"",'G2 MT Reading Scoresheet'!D45,"")</f>
        <v/>
      </c>
      <c r="E43" s="110" t="str">
        <f>'G2 MT Reading Scoresheet'!$J45</f>
        <v/>
      </c>
      <c r="F43" s="111" t="str">
        <f>IF(C43&lt;&gt;"",'G2 MT Reading Scoresheet'!$I45/30,"")</f>
        <v/>
      </c>
      <c r="G43" s="111" t="str">
        <f>IF(AND($C43&lt;&gt;"",$E43&lt;&gt;"Full Refresher"),'G2 MT Reading Scoresheet'!$Q45,"")</f>
        <v/>
      </c>
      <c r="H43" s="111" t="str">
        <f>IF(AND(C43&lt;&gt;"",E43&lt;&gt;"Full Refresher"),'G2 MT Reading Scoresheet'!$R45/6,"")</f>
        <v/>
      </c>
      <c r="I43" s="110" t="str">
        <f>IF(AND(D43&lt;&gt;"",F43&lt;&gt;"Full Refresher"),'G2 MT Reading Scoresheet'!$P45,"")</f>
        <v/>
      </c>
      <c r="J43" s="124" t="str">
        <f>'G2 MT Reading Scoresheet'!$U45</f>
        <v/>
      </c>
      <c r="K43" s="121" t="str">
        <f>'G2 FIL Reading Scoresheet'!$J45</f>
        <v/>
      </c>
      <c r="L43" s="122" t="str">
        <f>IF($C43&lt;&gt;"",'G2 FIL Reading Scoresheet'!$I45/30,"")</f>
        <v/>
      </c>
      <c r="M43" s="122" t="str">
        <f>IF(AND($C43&lt;&gt;"",$K43&lt;&gt;"Full Refresher"),'G2 FIL Reading Scoresheet'!$Q45,"")</f>
        <v/>
      </c>
      <c r="N43" s="122" t="str">
        <f>IF(AND($C43&lt;&gt;"",K43&lt;&gt;"Full Refresher"),'G2 FIL Reading Scoresheet'!$R45/6,"")</f>
        <v/>
      </c>
      <c r="O43" s="121" t="str">
        <f>IF(AND(C43&lt;&gt;"",K43&lt;&gt;"Full Refresher"),'G2 FIL Reading Scoresheet'!$P45,"")</f>
        <v/>
      </c>
      <c r="P43" s="125" t="str">
        <f>'G2 FIL Reading Scoresheet'!$U45</f>
        <v/>
      </c>
      <c r="Q43" s="126" t="str">
        <f>CONCATENATE(IF(ISBLANK('G2 MT Reading Scoresheet'!V45),"",CONCATENATE("MT:",TRIM('G2 MT Reading Scoresheet'!V45)))," ",IF(ISBLANK('G2 FIL Reading Scoresheet'!V45),"",CONCATENATE("FIL:",TRIM('G2 FIL Reading Scoresheet'!V45))))</f>
        <v/>
      </c>
    </row>
    <row r="44" spans="1:17">
      <c r="A44" s="112">
        <v>36</v>
      </c>
      <c r="B44" s="113" t="str">
        <f>IF('G2 MT Reading Scoresheet'!B46&lt;&gt;"",'G2 MT Reading Scoresheet'!B46,"")</f>
        <v/>
      </c>
      <c r="C44" s="114" t="str">
        <f>IF('G2 MT Reading Scoresheet'!C46&lt;&gt;"",'G2 MT Reading Scoresheet'!C46,"")</f>
        <v/>
      </c>
      <c r="D44" s="115" t="str">
        <f>IF('G2 MT Reading Scoresheet'!D46&lt;&gt;"",'G2 MT Reading Scoresheet'!D46,"")</f>
        <v/>
      </c>
      <c r="E44" s="110" t="str">
        <f>'G2 MT Reading Scoresheet'!$J46</f>
        <v/>
      </c>
      <c r="F44" s="111" t="str">
        <f>IF(C44&lt;&gt;"",'G2 MT Reading Scoresheet'!$I46/30,"")</f>
        <v/>
      </c>
      <c r="G44" s="111" t="str">
        <f>IF(AND($C44&lt;&gt;"",$E44&lt;&gt;"Full Refresher"),'G2 MT Reading Scoresheet'!$Q46,"")</f>
        <v/>
      </c>
      <c r="H44" s="111" t="str">
        <f>IF(AND(C44&lt;&gt;"",E44&lt;&gt;"Full Refresher"),'G2 MT Reading Scoresheet'!$R46/6,"")</f>
        <v/>
      </c>
      <c r="I44" s="110" t="str">
        <f>IF(AND(D44&lt;&gt;"",F44&lt;&gt;"Full Refresher"),'G2 MT Reading Scoresheet'!$P46,"")</f>
        <v/>
      </c>
      <c r="J44" s="124" t="str">
        <f>'G2 MT Reading Scoresheet'!$U46</f>
        <v/>
      </c>
      <c r="K44" s="121" t="str">
        <f>'G2 FIL Reading Scoresheet'!$J46</f>
        <v/>
      </c>
      <c r="L44" s="122" t="str">
        <f>IF($C44&lt;&gt;"",'G2 FIL Reading Scoresheet'!$I46/30,"")</f>
        <v/>
      </c>
      <c r="M44" s="122" t="str">
        <f>IF(AND($C44&lt;&gt;"",$K44&lt;&gt;"Full Refresher"),'G2 FIL Reading Scoresheet'!$Q46,"")</f>
        <v/>
      </c>
      <c r="N44" s="122" t="str">
        <f>IF(AND($C44&lt;&gt;"",K44&lt;&gt;"Full Refresher"),'G2 FIL Reading Scoresheet'!$R46/6,"")</f>
        <v/>
      </c>
      <c r="O44" s="121" t="str">
        <f>IF(AND(C44&lt;&gt;"",K44&lt;&gt;"Full Refresher"),'G2 FIL Reading Scoresheet'!$P46,"")</f>
        <v/>
      </c>
      <c r="P44" s="125" t="str">
        <f>'G2 FIL Reading Scoresheet'!$U46</f>
        <v/>
      </c>
      <c r="Q44" s="127" t="str">
        <f>CONCATENATE(IF(ISBLANK('G2 MT Reading Scoresheet'!V46),"",CONCATENATE("MT:",TRIM('G2 MT Reading Scoresheet'!V46)))," ",IF(ISBLANK('G2 FIL Reading Scoresheet'!V46),"",CONCATENATE("FIL:",TRIM('G2 FIL Reading Scoresheet'!V46))))</f>
        <v/>
      </c>
    </row>
    <row r="45" spans="1:17">
      <c r="A45" s="106">
        <v>37</v>
      </c>
      <c r="B45" s="107" t="str">
        <f>IF('G2 MT Reading Scoresheet'!B47&lt;&gt;"",'G2 MT Reading Scoresheet'!B47,"")</f>
        <v/>
      </c>
      <c r="C45" s="108" t="str">
        <f>IF('G2 MT Reading Scoresheet'!C47&lt;&gt;"",'G2 MT Reading Scoresheet'!C47,"")</f>
        <v/>
      </c>
      <c r="D45" s="109" t="str">
        <f>IF('G2 MT Reading Scoresheet'!D47&lt;&gt;"",'G2 MT Reading Scoresheet'!D47,"")</f>
        <v/>
      </c>
      <c r="E45" s="110" t="str">
        <f>'G2 MT Reading Scoresheet'!$J47</f>
        <v/>
      </c>
      <c r="F45" s="111" t="str">
        <f>IF(C45&lt;&gt;"",'G2 MT Reading Scoresheet'!$I47/30,"")</f>
        <v/>
      </c>
      <c r="G45" s="111" t="str">
        <f>IF(AND($C45&lt;&gt;"",$E45&lt;&gt;"Full Refresher"),'G2 MT Reading Scoresheet'!$Q47,"")</f>
        <v/>
      </c>
      <c r="H45" s="111" t="str">
        <f>IF(AND(C45&lt;&gt;"",E45&lt;&gt;"Full Refresher"),'G2 MT Reading Scoresheet'!$R47/6,"")</f>
        <v/>
      </c>
      <c r="I45" s="110" t="str">
        <f>IF(AND(D45&lt;&gt;"",F45&lt;&gt;"Full Refresher"),'G2 MT Reading Scoresheet'!$P47,"")</f>
        <v/>
      </c>
      <c r="J45" s="124" t="str">
        <f>'G2 MT Reading Scoresheet'!$U47</f>
        <v/>
      </c>
      <c r="K45" s="121" t="str">
        <f>'G2 FIL Reading Scoresheet'!$J47</f>
        <v/>
      </c>
      <c r="L45" s="122" t="str">
        <f>IF($C45&lt;&gt;"",'G2 FIL Reading Scoresheet'!$I47/30,"")</f>
        <v/>
      </c>
      <c r="M45" s="122" t="str">
        <f>IF(AND($C45&lt;&gt;"",$K45&lt;&gt;"Full Refresher"),'G2 FIL Reading Scoresheet'!$Q47,"")</f>
        <v/>
      </c>
      <c r="N45" s="122" t="str">
        <f>IF(AND($C45&lt;&gt;"",K45&lt;&gt;"Full Refresher"),'G2 FIL Reading Scoresheet'!$R47/6,"")</f>
        <v/>
      </c>
      <c r="O45" s="121" t="str">
        <f>IF(AND(C45&lt;&gt;"",K45&lt;&gt;"Full Refresher"),'G2 FIL Reading Scoresheet'!$P47,"")</f>
        <v/>
      </c>
      <c r="P45" s="125" t="str">
        <f>'G2 FIL Reading Scoresheet'!$U47</f>
        <v/>
      </c>
      <c r="Q45" s="126" t="str">
        <f>CONCATENATE(IF(ISBLANK('G2 MT Reading Scoresheet'!V47),"",CONCATENATE("MT:",TRIM('G2 MT Reading Scoresheet'!V47)))," ",IF(ISBLANK('G2 FIL Reading Scoresheet'!V47),"",CONCATENATE("FIL:",TRIM('G2 FIL Reading Scoresheet'!V47))))</f>
        <v/>
      </c>
    </row>
    <row r="46" spans="1:17">
      <c r="A46" s="112">
        <v>38</v>
      </c>
      <c r="B46" s="113" t="str">
        <f>IF('G2 MT Reading Scoresheet'!B48&lt;&gt;"",'G2 MT Reading Scoresheet'!B48,"")</f>
        <v/>
      </c>
      <c r="C46" s="114" t="str">
        <f>IF('G2 MT Reading Scoresheet'!C48&lt;&gt;"",'G2 MT Reading Scoresheet'!C48,"")</f>
        <v/>
      </c>
      <c r="D46" s="115" t="str">
        <f>IF('G2 MT Reading Scoresheet'!D48&lt;&gt;"",'G2 MT Reading Scoresheet'!D48,"")</f>
        <v/>
      </c>
      <c r="E46" s="110" t="str">
        <f>'G2 MT Reading Scoresheet'!$J48</f>
        <v/>
      </c>
      <c r="F46" s="111" t="str">
        <f>IF(C46&lt;&gt;"",'G2 MT Reading Scoresheet'!$I48/30,"")</f>
        <v/>
      </c>
      <c r="G46" s="111" t="str">
        <f>IF(AND($C46&lt;&gt;"",$E46&lt;&gt;"Full Refresher"),'G2 MT Reading Scoresheet'!$Q48,"")</f>
        <v/>
      </c>
      <c r="H46" s="111" t="str">
        <f>IF(AND(C46&lt;&gt;"",E46&lt;&gt;"Full Refresher"),'G2 MT Reading Scoresheet'!$R48/6,"")</f>
        <v/>
      </c>
      <c r="I46" s="110" t="str">
        <f>IF(AND(D46&lt;&gt;"",F46&lt;&gt;"Full Refresher"),'G2 MT Reading Scoresheet'!$P48,"")</f>
        <v/>
      </c>
      <c r="J46" s="124" t="str">
        <f>'G2 MT Reading Scoresheet'!$U48</f>
        <v/>
      </c>
      <c r="K46" s="121" t="str">
        <f>'G2 FIL Reading Scoresheet'!$J48</f>
        <v/>
      </c>
      <c r="L46" s="122" t="str">
        <f>IF($C46&lt;&gt;"",'G2 FIL Reading Scoresheet'!$I48/30,"")</f>
        <v/>
      </c>
      <c r="M46" s="122" t="str">
        <f>IF(AND($C46&lt;&gt;"",$K46&lt;&gt;"Full Refresher"),'G2 FIL Reading Scoresheet'!$Q48,"")</f>
        <v/>
      </c>
      <c r="N46" s="122" t="str">
        <f>IF(AND($C46&lt;&gt;"",K46&lt;&gt;"Full Refresher"),'G2 FIL Reading Scoresheet'!$R48/6,"")</f>
        <v/>
      </c>
      <c r="O46" s="121" t="str">
        <f>IF(AND(C46&lt;&gt;"",K46&lt;&gt;"Full Refresher"),'G2 FIL Reading Scoresheet'!$P48,"")</f>
        <v/>
      </c>
      <c r="P46" s="125" t="str">
        <f>'G2 FIL Reading Scoresheet'!$U48</f>
        <v/>
      </c>
      <c r="Q46" s="127" t="str">
        <f>CONCATENATE(IF(ISBLANK('G2 MT Reading Scoresheet'!V48),"",CONCATENATE("MT:",TRIM('G2 MT Reading Scoresheet'!V48)))," ",IF(ISBLANK('G2 FIL Reading Scoresheet'!V48),"",CONCATENATE("FIL:",TRIM('G2 FIL Reading Scoresheet'!V48))))</f>
        <v/>
      </c>
    </row>
    <row r="47" spans="1:17">
      <c r="A47" s="106">
        <v>39</v>
      </c>
      <c r="B47" s="107" t="str">
        <f>IF('G2 MT Reading Scoresheet'!B49&lt;&gt;"",'G2 MT Reading Scoresheet'!B49,"")</f>
        <v/>
      </c>
      <c r="C47" s="108" t="str">
        <f>IF('G2 MT Reading Scoresheet'!C49&lt;&gt;"",'G2 MT Reading Scoresheet'!C49,"")</f>
        <v/>
      </c>
      <c r="D47" s="109" t="str">
        <f>IF('G2 MT Reading Scoresheet'!D49&lt;&gt;"",'G2 MT Reading Scoresheet'!D49,"")</f>
        <v/>
      </c>
      <c r="E47" s="110" t="str">
        <f>'G2 MT Reading Scoresheet'!$J49</f>
        <v/>
      </c>
      <c r="F47" s="111" t="str">
        <f>IF(C47&lt;&gt;"",'G2 MT Reading Scoresheet'!$I49/30,"")</f>
        <v/>
      </c>
      <c r="G47" s="111" t="str">
        <f>IF(AND($C47&lt;&gt;"",$E47&lt;&gt;"Full Refresher"),'G2 MT Reading Scoresheet'!$Q49,"")</f>
        <v/>
      </c>
      <c r="H47" s="111" t="str">
        <f>IF(AND(C47&lt;&gt;"",E47&lt;&gt;"Full Refresher"),'G2 MT Reading Scoresheet'!$R49/6,"")</f>
        <v/>
      </c>
      <c r="I47" s="110" t="str">
        <f>IF(AND(D47&lt;&gt;"",F47&lt;&gt;"Full Refresher"),'G2 MT Reading Scoresheet'!$P49,"")</f>
        <v/>
      </c>
      <c r="J47" s="124" t="str">
        <f>'G2 MT Reading Scoresheet'!$U49</f>
        <v/>
      </c>
      <c r="K47" s="121" t="str">
        <f>'G2 FIL Reading Scoresheet'!$J49</f>
        <v/>
      </c>
      <c r="L47" s="122" t="str">
        <f>IF($C47&lt;&gt;"",'G2 FIL Reading Scoresheet'!$I49/30,"")</f>
        <v/>
      </c>
      <c r="M47" s="122" t="str">
        <f>IF(AND($C47&lt;&gt;"",$K47&lt;&gt;"Full Refresher"),'G2 FIL Reading Scoresheet'!$Q49,"")</f>
        <v/>
      </c>
      <c r="N47" s="122" t="str">
        <f>IF(AND($C47&lt;&gt;"",K47&lt;&gt;"Full Refresher"),'G2 FIL Reading Scoresheet'!$R49/6,"")</f>
        <v/>
      </c>
      <c r="O47" s="121" t="str">
        <f>IF(AND(C47&lt;&gt;"",K47&lt;&gt;"Full Refresher"),'G2 FIL Reading Scoresheet'!$P49,"")</f>
        <v/>
      </c>
      <c r="P47" s="125" t="str">
        <f>'G2 FIL Reading Scoresheet'!$U49</f>
        <v/>
      </c>
      <c r="Q47" s="126" t="str">
        <f>CONCATENATE(IF(ISBLANK('G2 MT Reading Scoresheet'!V49),"",CONCATENATE("MT:",TRIM('G2 MT Reading Scoresheet'!V49)))," ",IF(ISBLANK('G2 FIL Reading Scoresheet'!V49),"",CONCATENATE("FIL:",TRIM('G2 FIL Reading Scoresheet'!V49))))</f>
        <v/>
      </c>
    </row>
    <row r="48" spans="1:17">
      <c r="A48" s="112">
        <v>40</v>
      </c>
      <c r="B48" s="113" t="str">
        <f>IF('G2 MT Reading Scoresheet'!B50&lt;&gt;"",'G2 MT Reading Scoresheet'!B50,"")</f>
        <v/>
      </c>
      <c r="C48" s="114" t="str">
        <f>IF('G2 MT Reading Scoresheet'!C50&lt;&gt;"",'G2 MT Reading Scoresheet'!C50,"")</f>
        <v/>
      </c>
      <c r="D48" s="115" t="str">
        <f>IF('G2 MT Reading Scoresheet'!D50&lt;&gt;"",'G2 MT Reading Scoresheet'!D50,"")</f>
        <v/>
      </c>
      <c r="E48" s="110" t="str">
        <f>'G2 MT Reading Scoresheet'!$J50</f>
        <v/>
      </c>
      <c r="F48" s="111" t="str">
        <f>IF(C48&lt;&gt;"",'G2 MT Reading Scoresheet'!$I50/30,"")</f>
        <v/>
      </c>
      <c r="G48" s="111" t="str">
        <f>IF(AND($C48&lt;&gt;"",$E48&lt;&gt;"Full Refresher"),'G2 MT Reading Scoresheet'!$Q50,"")</f>
        <v/>
      </c>
      <c r="H48" s="111" t="str">
        <f>IF(AND(C48&lt;&gt;"",E48&lt;&gt;"Full Refresher"),'G2 MT Reading Scoresheet'!$R50/6,"")</f>
        <v/>
      </c>
      <c r="I48" s="110" t="str">
        <f>IF(AND(D48&lt;&gt;"",F48&lt;&gt;"Full Refresher"),'G2 MT Reading Scoresheet'!$P50,"")</f>
        <v/>
      </c>
      <c r="J48" s="124" t="str">
        <f>'G2 MT Reading Scoresheet'!$U50</f>
        <v/>
      </c>
      <c r="K48" s="121" t="str">
        <f>'G2 FIL Reading Scoresheet'!$J50</f>
        <v/>
      </c>
      <c r="L48" s="122" t="str">
        <f>IF($C48&lt;&gt;"",'G2 FIL Reading Scoresheet'!$I50/30,"")</f>
        <v/>
      </c>
      <c r="M48" s="122" t="str">
        <f>IF(AND($C48&lt;&gt;"",$K48&lt;&gt;"Full Refresher"),'G2 FIL Reading Scoresheet'!$Q50,"")</f>
        <v/>
      </c>
      <c r="N48" s="122" t="str">
        <f>IF(AND($C48&lt;&gt;"",K48&lt;&gt;"Full Refresher"),'G2 FIL Reading Scoresheet'!$R50/6,"")</f>
        <v/>
      </c>
      <c r="O48" s="121" t="str">
        <f>IF(AND(C48&lt;&gt;"",K48&lt;&gt;"Full Refresher"),'G2 FIL Reading Scoresheet'!$P50,"")</f>
        <v/>
      </c>
      <c r="P48" s="125" t="str">
        <f>'G2 FIL Reading Scoresheet'!$U50</f>
        <v/>
      </c>
      <c r="Q48" s="127" t="str">
        <f>CONCATENATE(IF(ISBLANK('G2 MT Reading Scoresheet'!V50),"",CONCATENATE("MT:",TRIM('G2 MT Reading Scoresheet'!V50)))," ",IF(ISBLANK('G2 FIL Reading Scoresheet'!V50),"",CONCATENATE("FIL:",TRIM('G2 FIL Reading Scoresheet'!V50))))</f>
        <v/>
      </c>
    </row>
    <row r="49" spans="1:17">
      <c r="A49" s="106">
        <v>41</v>
      </c>
      <c r="B49" s="107" t="str">
        <f>IF('G2 MT Reading Scoresheet'!B51&lt;&gt;"",'G2 MT Reading Scoresheet'!B51,"")</f>
        <v/>
      </c>
      <c r="C49" s="108" t="str">
        <f>IF('G2 MT Reading Scoresheet'!C51&lt;&gt;"",'G2 MT Reading Scoresheet'!C51,"")</f>
        <v/>
      </c>
      <c r="D49" s="109" t="str">
        <f>IF('G2 MT Reading Scoresheet'!D51&lt;&gt;"",'G2 MT Reading Scoresheet'!D51,"")</f>
        <v/>
      </c>
      <c r="E49" s="110" t="str">
        <f>'G2 MT Reading Scoresheet'!$J51</f>
        <v/>
      </c>
      <c r="F49" s="111" t="str">
        <f>IF(C49&lt;&gt;"",'G2 MT Reading Scoresheet'!$I51/30,"")</f>
        <v/>
      </c>
      <c r="G49" s="111" t="str">
        <f>IF(AND($C49&lt;&gt;"",$E49&lt;&gt;"Full Refresher"),'G2 MT Reading Scoresheet'!$Q51,"")</f>
        <v/>
      </c>
      <c r="H49" s="111" t="str">
        <f>IF(AND(C49&lt;&gt;"",E49&lt;&gt;"Full Refresher"),'G2 MT Reading Scoresheet'!$R51/6,"")</f>
        <v/>
      </c>
      <c r="I49" s="110" t="str">
        <f>IF(AND(D49&lt;&gt;"",F49&lt;&gt;"Full Refresher"),'G2 MT Reading Scoresheet'!$P51,"")</f>
        <v/>
      </c>
      <c r="J49" s="124" t="str">
        <f>'G2 MT Reading Scoresheet'!$U51</f>
        <v/>
      </c>
      <c r="K49" s="121" t="str">
        <f>'G2 FIL Reading Scoresheet'!$J51</f>
        <v/>
      </c>
      <c r="L49" s="122" t="str">
        <f>IF($C49&lt;&gt;"",'G2 FIL Reading Scoresheet'!$I51/30,"")</f>
        <v/>
      </c>
      <c r="M49" s="122" t="str">
        <f>IF(AND($C49&lt;&gt;"",$K49&lt;&gt;"Full Refresher"),'G2 FIL Reading Scoresheet'!$Q51,"")</f>
        <v/>
      </c>
      <c r="N49" s="122" t="str">
        <f>IF(AND($C49&lt;&gt;"",K49&lt;&gt;"Full Refresher"),'G2 FIL Reading Scoresheet'!$R51/6,"")</f>
        <v/>
      </c>
      <c r="O49" s="121" t="str">
        <f>IF(AND(C49&lt;&gt;"",K49&lt;&gt;"Full Refresher"),'G2 FIL Reading Scoresheet'!$P51,"")</f>
        <v/>
      </c>
      <c r="P49" s="125" t="str">
        <f>'G2 FIL Reading Scoresheet'!$U51</f>
        <v/>
      </c>
      <c r="Q49" s="126" t="str">
        <f>CONCATENATE(IF(ISBLANK('G2 MT Reading Scoresheet'!V51),"",CONCATENATE("MT:",TRIM('G2 MT Reading Scoresheet'!V51)))," ",IF(ISBLANK('G2 FIL Reading Scoresheet'!V51),"",CONCATENATE("FIL:",TRIM('G2 FIL Reading Scoresheet'!V51))))</f>
        <v/>
      </c>
    </row>
    <row r="50" spans="1:17">
      <c r="A50" s="112">
        <v>42</v>
      </c>
      <c r="B50" s="113" t="str">
        <f>IF('G2 MT Reading Scoresheet'!B52&lt;&gt;"",'G2 MT Reading Scoresheet'!B52,"")</f>
        <v/>
      </c>
      <c r="C50" s="114" t="str">
        <f>IF('G2 MT Reading Scoresheet'!C52&lt;&gt;"",'G2 MT Reading Scoresheet'!C52,"")</f>
        <v/>
      </c>
      <c r="D50" s="115" t="str">
        <f>IF('G2 MT Reading Scoresheet'!D52&lt;&gt;"",'G2 MT Reading Scoresheet'!D52,"")</f>
        <v/>
      </c>
      <c r="E50" s="110" t="str">
        <f>'G2 MT Reading Scoresheet'!$J52</f>
        <v/>
      </c>
      <c r="F50" s="111" t="str">
        <f>IF(C50&lt;&gt;"",'G2 MT Reading Scoresheet'!$I52/30,"")</f>
        <v/>
      </c>
      <c r="G50" s="111" t="str">
        <f>IF(AND($C50&lt;&gt;"",$E50&lt;&gt;"Full Refresher"),'G2 MT Reading Scoresheet'!$Q52,"")</f>
        <v/>
      </c>
      <c r="H50" s="111" t="str">
        <f>IF(AND(C50&lt;&gt;"",E50&lt;&gt;"Full Refresher"),'G2 MT Reading Scoresheet'!$R52/6,"")</f>
        <v/>
      </c>
      <c r="I50" s="110" t="str">
        <f>IF(AND(D50&lt;&gt;"",F50&lt;&gt;"Full Refresher"),'G2 MT Reading Scoresheet'!$P52,"")</f>
        <v/>
      </c>
      <c r="J50" s="124" t="str">
        <f>'G2 MT Reading Scoresheet'!$U52</f>
        <v/>
      </c>
      <c r="K50" s="121" t="str">
        <f>'G2 FIL Reading Scoresheet'!$J52</f>
        <v/>
      </c>
      <c r="L50" s="122" t="str">
        <f>IF($C50&lt;&gt;"",'G2 FIL Reading Scoresheet'!$I52/30,"")</f>
        <v/>
      </c>
      <c r="M50" s="122" t="str">
        <f>IF(AND($C50&lt;&gt;"",$K50&lt;&gt;"Full Refresher"),'G2 FIL Reading Scoresheet'!$Q52,"")</f>
        <v/>
      </c>
      <c r="N50" s="122" t="str">
        <f>IF(AND($C50&lt;&gt;"",K50&lt;&gt;"Full Refresher"),'G2 FIL Reading Scoresheet'!$R52/6,"")</f>
        <v/>
      </c>
      <c r="O50" s="121" t="str">
        <f>IF(AND(C50&lt;&gt;"",K50&lt;&gt;"Full Refresher"),'G2 FIL Reading Scoresheet'!$P52,"")</f>
        <v/>
      </c>
      <c r="P50" s="125" t="str">
        <f>'G2 FIL Reading Scoresheet'!$U52</f>
        <v/>
      </c>
      <c r="Q50" s="127" t="str">
        <f>CONCATENATE(IF(ISBLANK('G2 MT Reading Scoresheet'!V52),"",CONCATENATE("MT:",TRIM('G2 MT Reading Scoresheet'!V52)))," ",IF(ISBLANK('G2 FIL Reading Scoresheet'!V52),"",CONCATENATE("FIL:",TRIM('G2 FIL Reading Scoresheet'!V52))))</f>
        <v/>
      </c>
    </row>
    <row r="51" spans="1:17">
      <c r="A51" s="106">
        <v>43</v>
      </c>
      <c r="B51" s="107" t="str">
        <f>IF('G2 MT Reading Scoresheet'!B53&lt;&gt;"",'G2 MT Reading Scoresheet'!B53,"")</f>
        <v/>
      </c>
      <c r="C51" s="108" t="str">
        <f>IF('G2 MT Reading Scoresheet'!C53&lt;&gt;"",'G2 MT Reading Scoresheet'!C53,"")</f>
        <v/>
      </c>
      <c r="D51" s="109" t="str">
        <f>IF('G2 MT Reading Scoresheet'!D53&lt;&gt;"",'G2 MT Reading Scoresheet'!D53,"")</f>
        <v/>
      </c>
      <c r="E51" s="110" t="str">
        <f>'G2 MT Reading Scoresheet'!$J53</f>
        <v/>
      </c>
      <c r="F51" s="111" t="str">
        <f>IF(C51&lt;&gt;"",'G2 MT Reading Scoresheet'!$I53/30,"")</f>
        <v/>
      </c>
      <c r="G51" s="111" t="str">
        <f>IF(AND($C51&lt;&gt;"",$E51&lt;&gt;"Full Refresher"),'G2 MT Reading Scoresheet'!$Q53,"")</f>
        <v/>
      </c>
      <c r="H51" s="111" t="str">
        <f>IF(AND(C51&lt;&gt;"",E51&lt;&gt;"Full Refresher"),'G2 MT Reading Scoresheet'!$R53/6,"")</f>
        <v/>
      </c>
      <c r="I51" s="110" t="str">
        <f>IF(AND(D51&lt;&gt;"",F51&lt;&gt;"Full Refresher"),'G2 MT Reading Scoresheet'!$P53,"")</f>
        <v/>
      </c>
      <c r="J51" s="124" t="str">
        <f>'G2 MT Reading Scoresheet'!$U53</f>
        <v/>
      </c>
      <c r="K51" s="121" t="str">
        <f>'G2 FIL Reading Scoresheet'!$J53</f>
        <v/>
      </c>
      <c r="L51" s="122" t="str">
        <f>IF($C51&lt;&gt;"",'G2 FIL Reading Scoresheet'!$I53/30,"")</f>
        <v/>
      </c>
      <c r="M51" s="122" t="str">
        <f>IF(AND($C51&lt;&gt;"",$K51&lt;&gt;"Full Refresher"),'G2 FIL Reading Scoresheet'!$Q53,"")</f>
        <v/>
      </c>
      <c r="N51" s="122" t="str">
        <f>IF(AND($C51&lt;&gt;"",K51&lt;&gt;"Full Refresher"),'G2 FIL Reading Scoresheet'!$R53/6,"")</f>
        <v/>
      </c>
      <c r="O51" s="121" t="str">
        <f>IF(AND(C51&lt;&gt;"",K51&lt;&gt;"Full Refresher"),'G2 FIL Reading Scoresheet'!$P53,"")</f>
        <v/>
      </c>
      <c r="P51" s="125" t="str">
        <f>'G2 FIL Reading Scoresheet'!$U53</f>
        <v/>
      </c>
      <c r="Q51" s="126" t="str">
        <f>CONCATENATE(IF(ISBLANK('G2 MT Reading Scoresheet'!V53),"",CONCATENATE("MT:",TRIM('G2 MT Reading Scoresheet'!V53)))," ",IF(ISBLANK('G2 FIL Reading Scoresheet'!V53),"",CONCATENATE("FIL:",TRIM('G2 FIL Reading Scoresheet'!V53))))</f>
        <v/>
      </c>
    </row>
    <row r="52" spans="1:17">
      <c r="A52" s="112">
        <v>44</v>
      </c>
      <c r="B52" s="113" t="str">
        <f>IF('G2 MT Reading Scoresheet'!B54&lt;&gt;"",'G2 MT Reading Scoresheet'!B54,"")</f>
        <v/>
      </c>
      <c r="C52" s="114" t="str">
        <f>IF('G2 MT Reading Scoresheet'!C54&lt;&gt;"",'G2 MT Reading Scoresheet'!C54,"")</f>
        <v/>
      </c>
      <c r="D52" s="115" t="str">
        <f>IF('G2 MT Reading Scoresheet'!D54&lt;&gt;"",'G2 MT Reading Scoresheet'!D54,"")</f>
        <v/>
      </c>
      <c r="E52" s="110" t="str">
        <f>'G2 MT Reading Scoresheet'!$J54</f>
        <v/>
      </c>
      <c r="F52" s="111" t="str">
        <f>IF(C52&lt;&gt;"",'G2 MT Reading Scoresheet'!$I54/30,"")</f>
        <v/>
      </c>
      <c r="G52" s="111" t="str">
        <f>IF(AND($C52&lt;&gt;"",$E52&lt;&gt;"Full Refresher"),'G2 MT Reading Scoresheet'!$Q54,"")</f>
        <v/>
      </c>
      <c r="H52" s="111" t="str">
        <f>IF(AND(C52&lt;&gt;"",E52&lt;&gt;"Full Refresher"),'G2 MT Reading Scoresheet'!$R54/6,"")</f>
        <v/>
      </c>
      <c r="I52" s="110" t="str">
        <f>IF(AND(D52&lt;&gt;"",F52&lt;&gt;"Full Refresher"),'G2 MT Reading Scoresheet'!$P54,"")</f>
        <v/>
      </c>
      <c r="J52" s="124" t="str">
        <f>'G2 MT Reading Scoresheet'!$U54</f>
        <v/>
      </c>
      <c r="K52" s="121" t="str">
        <f>'G2 FIL Reading Scoresheet'!$J54</f>
        <v/>
      </c>
      <c r="L52" s="122" t="str">
        <f>IF($C52&lt;&gt;"",'G2 FIL Reading Scoresheet'!$I54/30,"")</f>
        <v/>
      </c>
      <c r="M52" s="122" t="str">
        <f>IF(AND($C52&lt;&gt;"",$K52&lt;&gt;"Full Refresher"),'G2 FIL Reading Scoresheet'!$Q54,"")</f>
        <v/>
      </c>
      <c r="N52" s="122" t="str">
        <f>IF(AND($C52&lt;&gt;"",K52&lt;&gt;"Full Refresher"),'G2 FIL Reading Scoresheet'!$R54/6,"")</f>
        <v/>
      </c>
      <c r="O52" s="121" t="str">
        <f>IF(AND(C52&lt;&gt;"",K52&lt;&gt;"Full Refresher"),'G2 FIL Reading Scoresheet'!$P54,"")</f>
        <v/>
      </c>
      <c r="P52" s="125" t="str">
        <f>'G2 FIL Reading Scoresheet'!$U54</f>
        <v/>
      </c>
      <c r="Q52" s="127" t="str">
        <f>CONCATENATE(IF(ISBLANK('G2 MT Reading Scoresheet'!V54),"",CONCATENATE("MT:",TRIM('G2 MT Reading Scoresheet'!V54)))," ",IF(ISBLANK('G2 FIL Reading Scoresheet'!V54),"",CONCATENATE("FIL:",TRIM('G2 FIL Reading Scoresheet'!V54))))</f>
        <v/>
      </c>
    </row>
    <row r="53" spans="1:17">
      <c r="A53" s="106">
        <v>45</v>
      </c>
      <c r="B53" s="107" t="str">
        <f>IF('G2 MT Reading Scoresheet'!B55&lt;&gt;"",'G2 MT Reading Scoresheet'!B55,"")</f>
        <v/>
      </c>
      <c r="C53" s="108" t="str">
        <f>IF('G2 MT Reading Scoresheet'!C55&lt;&gt;"",'G2 MT Reading Scoresheet'!C55,"")</f>
        <v/>
      </c>
      <c r="D53" s="109" t="str">
        <f>IF('G2 MT Reading Scoresheet'!D55&lt;&gt;"",'G2 MT Reading Scoresheet'!D55,"")</f>
        <v/>
      </c>
      <c r="E53" s="110" t="str">
        <f>'G2 MT Reading Scoresheet'!$J55</f>
        <v/>
      </c>
      <c r="F53" s="111" t="str">
        <f>IF(C53&lt;&gt;"",'G2 MT Reading Scoresheet'!$I55/30,"")</f>
        <v/>
      </c>
      <c r="G53" s="111" t="str">
        <f>IF(AND($C53&lt;&gt;"",$E53&lt;&gt;"Full Refresher"),'G2 MT Reading Scoresheet'!$Q55,"")</f>
        <v/>
      </c>
      <c r="H53" s="111" t="str">
        <f>IF(AND(C53&lt;&gt;"",E53&lt;&gt;"Full Refresher"),'G2 MT Reading Scoresheet'!$R55/6,"")</f>
        <v/>
      </c>
      <c r="I53" s="110" t="str">
        <f>IF(AND(D53&lt;&gt;"",F53&lt;&gt;"Full Refresher"),'G2 MT Reading Scoresheet'!$P55,"")</f>
        <v/>
      </c>
      <c r="J53" s="124" t="str">
        <f>'G2 MT Reading Scoresheet'!$U55</f>
        <v/>
      </c>
      <c r="K53" s="121" t="str">
        <f>'G2 FIL Reading Scoresheet'!$J55</f>
        <v/>
      </c>
      <c r="L53" s="122" t="str">
        <f>IF($C53&lt;&gt;"",'G2 FIL Reading Scoresheet'!$I55/30,"")</f>
        <v/>
      </c>
      <c r="M53" s="122" t="str">
        <f>IF(AND($C53&lt;&gt;"",$K53&lt;&gt;"Full Refresher"),'G2 FIL Reading Scoresheet'!$Q55,"")</f>
        <v/>
      </c>
      <c r="N53" s="122" t="str">
        <f>IF(AND($C53&lt;&gt;"",K53&lt;&gt;"Full Refresher"),'G2 FIL Reading Scoresheet'!$R55/6,"")</f>
        <v/>
      </c>
      <c r="O53" s="121" t="str">
        <f>IF(AND(C53&lt;&gt;"",K53&lt;&gt;"Full Refresher"),'G2 FIL Reading Scoresheet'!$P55,"")</f>
        <v/>
      </c>
      <c r="P53" s="125" t="str">
        <f>'G2 FIL Reading Scoresheet'!$U55</f>
        <v/>
      </c>
      <c r="Q53" s="126" t="str">
        <f>CONCATENATE(IF(ISBLANK('G2 MT Reading Scoresheet'!V55),"",CONCATENATE("MT:",TRIM('G2 MT Reading Scoresheet'!V55)))," ",IF(ISBLANK('G2 FIL Reading Scoresheet'!V55),"",CONCATENATE("FIL:",TRIM('G2 FIL Reading Scoresheet'!V55))))</f>
        <v/>
      </c>
    </row>
    <row r="54" spans="1:17">
      <c r="A54" s="112">
        <v>46</v>
      </c>
      <c r="B54" s="113" t="str">
        <f>IF('G2 MT Reading Scoresheet'!B56&lt;&gt;"",'G2 MT Reading Scoresheet'!B56,"")</f>
        <v/>
      </c>
      <c r="C54" s="114" t="str">
        <f>IF('G2 MT Reading Scoresheet'!C56&lt;&gt;"",'G2 MT Reading Scoresheet'!C56,"")</f>
        <v/>
      </c>
      <c r="D54" s="115" t="str">
        <f>IF('G2 MT Reading Scoresheet'!D56&lt;&gt;"",'G2 MT Reading Scoresheet'!D56,"")</f>
        <v/>
      </c>
      <c r="E54" s="110" t="str">
        <f>'G2 MT Reading Scoresheet'!$J56</f>
        <v/>
      </c>
      <c r="F54" s="111" t="str">
        <f>IF(C54&lt;&gt;"",'G2 MT Reading Scoresheet'!$I56/30,"")</f>
        <v/>
      </c>
      <c r="G54" s="111" t="str">
        <f>IF(AND($C54&lt;&gt;"",$E54&lt;&gt;"Full Refresher"),'G2 MT Reading Scoresheet'!$Q56,"")</f>
        <v/>
      </c>
      <c r="H54" s="111" t="str">
        <f>IF(AND(C54&lt;&gt;"",E54&lt;&gt;"Full Refresher"),'G2 MT Reading Scoresheet'!$R56/6,"")</f>
        <v/>
      </c>
      <c r="I54" s="110" t="str">
        <f>IF(AND(D54&lt;&gt;"",F54&lt;&gt;"Full Refresher"),'G2 MT Reading Scoresheet'!$P56,"")</f>
        <v/>
      </c>
      <c r="J54" s="124" t="str">
        <f>'G2 MT Reading Scoresheet'!$U56</f>
        <v/>
      </c>
      <c r="K54" s="121" t="str">
        <f>'G2 FIL Reading Scoresheet'!$J56</f>
        <v/>
      </c>
      <c r="L54" s="122" t="str">
        <f>IF($C54&lt;&gt;"",'G2 FIL Reading Scoresheet'!$I56/30,"")</f>
        <v/>
      </c>
      <c r="M54" s="122" t="str">
        <f>IF(AND($C54&lt;&gt;"",$K54&lt;&gt;"Full Refresher"),'G2 FIL Reading Scoresheet'!$Q56,"")</f>
        <v/>
      </c>
      <c r="N54" s="122" t="str">
        <f>IF(AND($C54&lt;&gt;"",K54&lt;&gt;"Full Refresher"),'G2 FIL Reading Scoresheet'!$R56/6,"")</f>
        <v/>
      </c>
      <c r="O54" s="121" t="str">
        <f>IF(AND(C54&lt;&gt;"",K54&lt;&gt;"Full Refresher"),'G2 FIL Reading Scoresheet'!$P56,"")</f>
        <v/>
      </c>
      <c r="P54" s="125" t="str">
        <f>'G2 FIL Reading Scoresheet'!$U56</f>
        <v/>
      </c>
      <c r="Q54" s="127" t="str">
        <f>CONCATENATE(IF(ISBLANK('G2 MT Reading Scoresheet'!V56),"",CONCATENATE("MT:",TRIM('G2 MT Reading Scoresheet'!V56)))," ",IF(ISBLANK('G2 FIL Reading Scoresheet'!V56),"",CONCATENATE("FIL:",TRIM('G2 FIL Reading Scoresheet'!V56))))</f>
        <v/>
      </c>
    </row>
    <row r="55" spans="1:17">
      <c r="A55" s="106">
        <v>47</v>
      </c>
      <c r="B55" s="107" t="str">
        <f>IF('G2 MT Reading Scoresheet'!B57&lt;&gt;"",'G2 MT Reading Scoresheet'!B57,"")</f>
        <v/>
      </c>
      <c r="C55" s="108" t="str">
        <f>IF('G2 MT Reading Scoresheet'!C57&lt;&gt;"",'G2 MT Reading Scoresheet'!C57,"")</f>
        <v/>
      </c>
      <c r="D55" s="109" t="str">
        <f>IF('G2 MT Reading Scoresheet'!D57&lt;&gt;"",'G2 MT Reading Scoresheet'!D57,"")</f>
        <v/>
      </c>
      <c r="E55" s="110" t="str">
        <f>'G2 MT Reading Scoresheet'!$J57</f>
        <v/>
      </c>
      <c r="F55" s="111" t="str">
        <f>IF(C55&lt;&gt;"",'G2 MT Reading Scoresheet'!$I57/30,"")</f>
        <v/>
      </c>
      <c r="G55" s="111" t="str">
        <f>IF(AND($C55&lt;&gt;"",$E55&lt;&gt;"Full Refresher"),'G2 MT Reading Scoresheet'!$Q57,"")</f>
        <v/>
      </c>
      <c r="H55" s="111" t="str">
        <f>IF(AND(C55&lt;&gt;"",E55&lt;&gt;"Full Refresher"),'G2 MT Reading Scoresheet'!$R57/6,"")</f>
        <v/>
      </c>
      <c r="I55" s="110" t="str">
        <f>IF(AND(D55&lt;&gt;"",F55&lt;&gt;"Full Refresher"),'G2 MT Reading Scoresheet'!$P57,"")</f>
        <v/>
      </c>
      <c r="J55" s="124" t="str">
        <f>'G2 MT Reading Scoresheet'!$U57</f>
        <v/>
      </c>
      <c r="K55" s="121" t="str">
        <f>'G2 FIL Reading Scoresheet'!$J57</f>
        <v/>
      </c>
      <c r="L55" s="122" t="str">
        <f>IF($C55&lt;&gt;"",'G2 FIL Reading Scoresheet'!$I57/30,"")</f>
        <v/>
      </c>
      <c r="M55" s="122" t="str">
        <f>IF(AND($C55&lt;&gt;"",$K55&lt;&gt;"Full Refresher"),'G2 FIL Reading Scoresheet'!$Q57,"")</f>
        <v/>
      </c>
      <c r="N55" s="122" t="str">
        <f>IF(AND($C55&lt;&gt;"",K55&lt;&gt;"Full Refresher"),'G2 FIL Reading Scoresheet'!$R57/6,"")</f>
        <v/>
      </c>
      <c r="O55" s="121" t="str">
        <f>IF(AND(C55&lt;&gt;"",K55&lt;&gt;"Full Refresher"),'G2 FIL Reading Scoresheet'!$P57,"")</f>
        <v/>
      </c>
      <c r="P55" s="125" t="str">
        <f>'G2 FIL Reading Scoresheet'!$U57</f>
        <v/>
      </c>
      <c r="Q55" s="126" t="str">
        <f>CONCATENATE(IF(ISBLANK('G2 MT Reading Scoresheet'!V57),"",CONCATENATE("MT:",TRIM('G2 MT Reading Scoresheet'!V57)))," ",IF(ISBLANK('G2 FIL Reading Scoresheet'!V57),"",CONCATENATE("FIL:",TRIM('G2 FIL Reading Scoresheet'!V57))))</f>
        <v/>
      </c>
    </row>
    <row r="56" spans="1:17">
      <c r="A56" s="112">
        <v>48</v>
      </c>
      <c r="B56" s="113" t="str">
        <f>IF('G2 MT Reading Scoresheet'!B58&lt;&gt;"",'G2 MT Reading Scoresheet'!B58,"")</f>
        <v/>
      </c>
      <c r="C56" s="114" t="str">
        <f>IF('G2 MT Reading Scoresheet'!C58&lt;&gt;"",'G2 MT Reading Scoresheet'!C58,"")</f>
        <v/>
      </c>
      <c r="D56" s="115" t="str">
        <f>IF('G2 MT Reading Scoresheet'!D58&lt;&gt;"",'G2 MT Reading Scoresheet'!D58,"")</f>
        <v/>
      </c>
      <c r="E56" s="110" t="str">
        <f>'G2 MT Reading Scoresheet'!$J58</f>
        <v/>
      </c>
      <c r="F56" s="111" t="str">
        <f>IF(C56&lt;&gt;"",'G2 MT Reading Scoresheet'!$I58/30,"")</f>
        <v/>
      </c>
      <c r="G56" s="111" t="str">
        <f>IF(AND($C56&lt;&gt;"",$E56&lt;&gt;"Full Refresher"),'G2 MT Reading Scoresheet'!$Q58,"")</f>
        <v/>
      </c>
      <c r="H56" s="111" t="str">
        <f>IF(AND(C56&lt;&gt;"",E56&lt;&gt;"Full Refresher"),'G2 MT Reading Scoresheet'!$R58/6,"")</f>
        <v/>
      </c>
      <c r="I56" s="110" t="str">
        <f>IF(AND(D56&lt;&gt;"",F56&lt;&gt;"Full Refresher"),'G2 MT Reading Scoresheet'!$P58,"")</f>
        <v/>
      </c>
      <c r="J56" s="124" t="str">
        <f>'G2 MT Reading Scoresheet'!$U58</f>
        <v/>
      </c>
      <c r="K56" s="121" t="str">
        <f>'G2 FIL Reading Scoresheet'!$J58</f>
        <v/>
      </c>
      <c r="L56" s="122" t="str">
        <f>IF($C56&lt;&gt;"",'G2 FIL Reading Scoresheet'!$I58/30,"")</f>
        <v/>
      </c>
      <c r="M56" s="122" t="str">
        <f>IF(AND($C56&lt;&gt;"",$K56&lt;&gt;"Full Refresher"),'G2 FIL Reading Scoresheet'!$Q58,"")</f>
        <v/>
      </c>
      <c r="N56" s="122" t="str">
        <f>IF(AND($C56&lt;&gt;"",K56&lt;&gt;"Full Refresher"),'G2 FIL Reading Scoresheet'!$R58/6,"")</f>
        <v/>
      </c>
      <c r="O56" s="121" t="str">
        <f>IF(AND(C56&lt;&gt;"",K56&lt;&gt;"Full Refresher"),'G2 FIL Reading Scoresheet'!$P58,"")</f>
        <v/>
      </c>
      <c r="P56" s="125" t="str">
        <f>'G2 FIL Reading Scoresheet'!$U58</f>
        <v/>
      </c>
      <c r="Q56" s="127" t="str">
        <f>CONCATENATE(IF(ISBLANK('G2 MT Reading Scoresheet'!V58),"",CONCATENATE("MT:",TRIM('G2 MT Reading Scoresheet'!V58)))," ",IF(ISBLANK('G2 FIL Reading Scoresheet'!V58),"",CONCATENATE("FIL:",TRIM('G2 FIL Reading Scoresheet'!V58))))</f>
        <v/>
      </c>
    </row>
    <row r="57" spans="1:17">
      <c r="A57" s="106">
        <v>49</v>
      </c>
      <c r="B57" s="107" t="str">
        <f>IF('G2 MT Reading Scoresheet'!B59&lt;&gt;"",'G2 MT Reading Scoresheet'!B59,"")</f>
        <v/>
      </c>
      <c r="C57" s="108" t="str">
        <f>IF('G2 MT Reading Scoresheet'!C59&lt;&gt;"",'G2 MT Reading Scoresheet'!C59,"")</f>
        <v/>
      </c>
      <c r="D57" s="109" t="str">
        <f>IF('G2 MT Reading Scoresheet'!D59&lt;&gt;"",'G2 MT Reading Scoresheet'!D59,"")</f>
        <v/>
      </c>
      <c r="E57" s="110" t="str">
        <f>'G2 MT Reading Scoresheet'!$J59</f>
        <v/>
      </c>
      <c r="F57" s="111" t="str">
        <f>IF(C57&lt;&gt;"",'G2 MT Reading Scoresheet'!$I59/30,"")</f>
        <v/>
      </c>
      <c r="G57" s="111" t="str">
        <f>IF(AND($C57&lt;&gt;"",$E57&lt;&gt;"Full Refresher"),'G2 MT Reading Scoresheet'!$Q59,"")</f>
        <v/>
      </c>
      <c r="H57" s="111" t="str">
        <f>IF(AND(C57&lt;&gt;"",E57&lt;&gt;"Full Refresher"),'G2 MT Reading Scoresheet'!$R59/6,"")</f>
        <v/>
      </c>
      <c r="I57" s="110" t="str">
        <f>IF(AND(D57&lt;&gt;"",F57&lt;&gt;"Full Refresher"),'G2 MT Reading Scoresheet'!$P59,"")</f>
        <v/>
      </c>
      <c r="J57" s="124" t="str">
        <f>'G2 MT Reading Scoresheet'!$U59</f>
        <v/>
      </c>
      <c r="K57" s="121" t="str">
        <f>'G2 FIL Reading Scoresheet'!$J59</f>
        <v/>
      </c>
      <c r="L57" s="122" t="str">
        <f>IF($C57&lt;&gt;"",'G2 FIL Reading Scoresheet'!$I59/30,"")</f>
        <v/>
      </c>
      <c r="M57" s="122" t="str">
        <f>IF(AND($C57&lt;&gt;"",$K57&lt;&gt;"Full Refresher"),'G2 FIL Reading Scoresheet'!$Q59,"")</f>
        <v/>
      </c>
      <c r="N57" s="122" t="str">
        <f>IF(AND($C57&lt;&gt;"",K57&lt;&gt;"Full Refresher"),'G2 FIL Reading Scoresheet'!$R59/6,"")</f>
        <v/>
      </c>
      <c r="O57" s="121" t="str">
        <f>IF(AND(C57&lt;&gt;"",K57&lt;&gt;"Full Refresher"),'G2 FIL Reading Scoresheet'!$P59,"")</f>
        <v/>
      </c>
      <c r="P57" s="125" t="str">
        <f>'G2 FIL Reading Scoresheet'!$U59</f>
        <v/>
      </c>
      <c r="Q57" s="126" t="str">
        <f>CONCATENATE(IF(ISBLANK('G2 MT Reading Scoresheet'!V59),"",CONCATENATE("MT:",TRIM('G2 MT Reading Scoresheet'!V59)))," ",IF(ISBLANK('G2 FIL Reading Scoresheet'!V59),"",CONCATENATE("FIL:",TRIM('G2 FIL Reading Scoresheet'!V59))))</f>
        <v/>
      </c>
    </row>
    <row r="58" spans="1:17">
      <c r="A58" s="112">
        <v>50</v>
      </c>
      <c r="B58" s="113" t="str">
        <f>IF('G2 MT Reading Scoresheet'!B60&lt;&gt;"",'G2 MT Reading Scoresheet'!B60,"")</f>
        <v/>
      </c>
      <c r="C58" s="114" t="str">
        <f>IF('G2 MT Reading Scoresheet'!C60&lt;&gt;"",'G2 MT Reading Scoresheet'!C60,"")</f>
        <v/>
      </c>
      <c r="D58" s="115" t="str">
        <f>IF('G2 MT Reading Scoresheet'!D60&lt;&gt;"",'G2 MT Reading Scoresheet'!D60,"")</f>
        <v/>
      </c>
      <c r="E58" s="110" t="str">
        <f>'G2 MT Reading Scoresheet'!$J60</f>
        <v/>
      </c>
      <c r="F58" s="111" t="str">
        <f>IF(C58&lt;&gt;"",'G2 MT Reading Scoresheet'!$I60/30,"")</f>
        <v/>
      </c>
      <c r="G58" s="111" t="str">
        <f>IF(AND($C58&lt;&gt;"",$E58&lt;&gt;"Full Refresher"),'G2 MT Reading Scoresheet'!$Q60,"")</f>
        <v/>
      </c>
      <c r="H58" s="111" t="str">
        <f>IF(AND(C58&lt;&gt;"",E58&lt;&gt;"Full Refresher"),'G2 MT Reading Scoresheet'!$R60/6,"")</f>
        <v/>
      </c>
      <c r="I58" s="110" t="str">
        <f>IF(AND(D58&lt;&gt;"",F58&lt;&gt;"Full Refresher"),'G2 MT Reading Scoresheet'!$P60,"")</f>
        <v/>
      </c>
      <c r="J58" s="124" t="str">
        <f>'G2 MT Reading Scoresheet'!$U60</f>
        <v/>
      </c>
      <c r="K58" s="121" t="str">
        <f>'G2 FIL Reading Scoresheet'!$J60</f>
        <v/>
      </c>
      <c r="L58" s="122" t="str">
        <f>IF($C58&lt;&gt;"",'G2 FIL Reading Scoresheet'!$I60/30,"")</f>
        <v/>
      </c>
      <c r="M58" s="122" t="str">
        <f>IF(AND($C58&lt;&gt;"",$K58&lt;&gt;"Full Refresher"),'G2 FIL Reading Scoresheet'!$Q60,"")</f>
        <v/>
      </c>
      <c r="N58" s="122" t="str">
        <f>IF(AND($C58&lt;&gt;"",K58&lt;&gt;"Full Refresher"),'G2 FIL Reading Scoresheet'!$R60/6,"")</f>
        <v/>
      </c>
      <c r="O58" s="121" t="str">
        <f>IF(AND(C58&lt;&gt;"",K58&lt;&gt;"Full Refresher"),'G2 FIL Reading Scoresheet'!$P60,"")</f>
        <v/>
      </c>
      <c r="P58" s="125" t="str">
        <f>'G2 FIL Reading Scoresheet'!$U60</f>
        <v/>
      </c>
      <c r="Q58" s="127" t="str">
        <f>CONCATENATE(IF(ISBLANK('G2 MT Reading Scoresheet'!V60),"",CONCATENATE("MT:",TRIM('G2 MT Reading Scoresheet'!V60)))," ",IF(ISBLANK('G2 FIL Reading Scoresheet'!V60),"",CONCATENATE("FIL:",TRIM('G2 FIL Reading Scoresheet'!V60))))</f>
        <v/>
      </c>
    </row>
    <row r="59" spans="1:17">
      <c r="A59" s="106">
        <v>51</v>
      </c>
      <c r="B59" s="107" t="str">
        <f>IF('G2 MT Reading Scoresheet'!B61&lt;&gt;"",'G2 MT Reading Scoresheet'!B61,"")</f>
        <v/>
      </c>
      <c r="C59" s="108" t="str">
        <f>IF('G2 MT Reading Scoresheet'!C61&lt;&gt;"",'G2 MT Reading Scoresheet'!C61,"")</f>
        <v/>
      </c>
      <c r="D59" s="109" t="str">
        <f>IF('G2 MT Reading Scoresheet'!D61&lt;&gt;"",'G2 MT Reading Scoresheet'!D61,"")</f>
        <v/>
      </c>
      <c r="E59" s="110" t="str">
        <f>'G2 MT Reading Scoresheet'!$J61</f>
        <v/>
      </c>
      <c r="F59" s="111" t="str">
        <f>IF(C59&lt;&gt;"",'G2 MT Reading Scoresheet'!$I61/30,"")</f>
        <v/>
      </c>
      <c r="G59" s="111" t="str">
        <f>IF(AND($C59&lt;&gt;"",$E59&lt;&gt;"Full Refresher"),'G2 MT Reading Scoresheet'!$Q61,"")</f>
        <v/>
      </c>
      <c r="H59" s="111" t="str">
        <f>IF(AND(C59&lt;&gt;"",E59&lt;&gt;"Full Refresher"),'G2 MT Reading Scoresheet'!$R61/6,"")</f>
        <v/>
      </c>
      <c r="I59" s="110" t="str">
        <f>IF(AND(D59&lt;&gt;"",F59&lt;&gt;"Full Refresher"),'G2 MT Reading Scoresheet'!$P61,"")</f>
        <v/>
      </c>
      <c r="J59" s="124" t="str">
        <f>'G2 MT Reading Scoresheet'!$U61</f>
        <v/>
      </c>
      <c r="K59" s="121" t="str">
        <f>'G2 FIL Reading Scoresheet'!$J61</f>
        <v/>
      </c>
      <c r="L59" s="122" t="str">
        <f>IF($C59&lt;&gt;"",'G2 FIL Reading Scoresheet'!$I61/30,"")</f>
        <v/>
      </c>
      <c r="M59" s="122" t="str">
        <f>IF(AND($C59&lt;&gt;"",$K59&lt;&gt;"Full Refresher"),'G2 FIL Reading Scoresheet'!$Q61,"")</f>
        <v/>
      </c>
      <c r="N59" s="122" t="str">
        <f>IF(AND($C59&lt;&gt;"",K59&lt;&gt;"Full Refresher"),'G2 FIL Reading Scoresheet'!$R61/6,"")</f>
        <v/>
      </c>
      <c r="O59" s="121" t="str">
        <f>IF(AND(C59&lt;&gt;"",K59&lt;&gt;"Full Refresher"),'G2 FIL Reading Scoresheet'!$P61,"")</f>
        <v/>
      </c>
      <c r="P59" s="125" t="str">
        <f>'G2 FIL Reading Scoresheet'!$U61</f>
        <v/>
      </c>
      <c r="Q59" s="126" t="str">
        <f>CONCATENATE(IF(ISBLANK('G2 MT Reading Scoresheet'!V61),"",CONCATENATE("MT:",TRIM('G2 MT Reading Scoresheet'!V61)))," ",IF(ISBLANK('G2 FIL Reading Scoresheet'!V61),"",CONCATENATE("FIL:",TRIM('G2 FIL Reading Scoresheet'!V61))))</f>
        <v/>
      </c>
    </row>
    <row r="60" spans="1:17">
      <c r="A60" s="112">
        <v>52</v>
      </c>
      <c r="B60" s="113" t="str">
        <f>IF('G2 MT Reading Scoresheet'!B62&lt;&gt;"",'G2 MT Reading Scoresheet'!B62,"")</f>
        <v/>
      </c>
      <c r="C60" s="114" t="str">
        <f>IF('G2 MT Reading Scoresheet'!C62&lt;&gt;"",'G2 MT Reading Scoresheet'!C62,"")</f>
        <v/>
      </c>
      <c r="D60" s="115" t="str">
        <f>IF('G2 MT Reading Scoresheet'!D62&lt;&gt;"",'G2 MT Reading Scoresheet'!D62,"")</f>
        <v/>
      </c>
      <c r="E60" s="110" t="str">
        <f>'G2 MT Reading Scoresheet'!$J62</f>
        <v/>
      </c>
      <c r="F60" s="111" t="str">
        <f>IF(C60&lt;&gt;"",'G2 MT Reading Scoresheet'!$I62/30,"")</f>
        <v/>
      </c>
      <c r="G60" s="111" t="str">
        <f>IF(AND($C60&lt;&gt;"",$E60&lt;&gt;"Full Refresher"),'G2 MT Reading Scoresheet'!$Q62,"")</f>
        <v/>
      </c>
      <c r="H60" s="111" t="str">
        <f>IF(AND(C60&lt;&gt;"",E60&lt;&gt;"Full Refresher"),'G2 MT Reading Scoresheet'!$R62/6,"")</f>
        <v/>
      </c>
      <c r="I60" s="110" t="str">
        <f>IF(AND(D60&lt;&gt;"",F60&lt;&gt;"Full Refresher"),'G2 MT Reading Scoresheet'!$P62,"")</f>
        <v/>
      </c>
      <c r="J60" s="124" t="str">
        <f>'G2 MT Reading Scoresheet'!$U62</f>
        <v/>
      </c>
      <c r="K60" s="121" t="str">
        <f>'G2 FIL Reading Scoresheet'!$J62</f>
        <v/>
      </c>
      <c r="L60" s="122" t="str">
        <f>IF($C60&lt;&gt;"",'G2 FIL Reading Scoresheet'!$I62/30,"")</f>
        <v/>
      </c>
      <c r="M60" s="122" t="str">
        <f>IF(AND($C60&lt;&gt;"",$K60&lt;&gt;"Full Refresher"),'G2 FIL Reading Scoresheet'!$Q62,"")</f>
        <v/>
      </c>
      <c r="N60" s="122" t="str">
        <f>IF(AND($C60&lt;&gt;"",K60&lt;&gt;"Full Refresher"),'G2 FIL Reading Scoresheet'!$R62/6,"")</f>
        <v/>
      </c>
      <c r="O60" s="121" t="str">
        <f>IF(AND(C60&lt;&gt;"",K60&lt;&gt;"Full Refresher"),'G2 FIL Reading Scoresheet'!$P62,"")</f>
        <v/>
      </c>
      <c r="P60" s="125" t="str">
        <f>'G2 FIL Reading Scoresheet'!$U62</f>
        <v/>
      </c>
      <c r="Q60" s="127" t="str">
        <f>CONCATENATE(IF(ISBLANK('G2 MT Reading Scoresheet'!V62),"",CONCATENATE("MT:",TRIM('G2 MT Reading Scoresheet'!V62)))," ",IF(ISBLANK('G2 FIL Reading Scoresheet'!V62),"",CONCATENATE("FIL:",TRIM('G2 FIL Reading Scoresheet'!V62))))</f>
        <v/>
      </c>
    </row>
    <row r="61" spans="1:17">
      <c r="A61" s="106">
        <v>53</v>
      </c>
      <c r="B61" s="107" t="str">
        <f>IF('G2 MT Reading Scoresheet'!B63&lt;&gt;"",'G2 MT Reading Scoresheet'!B63,"")</f>
        <v/>
      </c>
      <c r="C61" s="108" t="str">
        <f>IF('G2 MT Reading Scoresheet'!C63&lt;&gt;"",'G2 MT Reading Scoresheet'!C63,"")</f>
        <v/>
      </c>
      <c r="D61" s="109" t="str">
        <f>IF('G2 MT Reading Scoresheet'!D63&lt;&gt;"",'G2 MT Reading Scoresheet'!D63,"")</f>
        <v/>
      </c>
      <c r="E61" s="110" t="str">
        <f>'G2 MT Reading Scoresheet'!$J63</f>
        <v/>
      </c>
      <c r="F61" s="111" t="str">
        <f>IF(C61&lt;&gt;"",'G2 MT Reading Scoresheet'!$I63/30,"")</f>
        <v/>
      </c>
      <c r="G61" s="111" t="str">
        <f>IF(AND($C61&lt;&gt;"",$E61&lt;&gt;"Full Refresher"),'G2 MT Reading Scoresheet'!$Q63,"")</f>
        <v/>
      </c>
      <c r="H61" s="111" t="str">
        <f>IF(AND(C61&lt;&gt;"",E61&lt;&gt;"Full Refresher"),'G2 MT Reading Scoresheet'!$R63/6,"")</f>
        <v/>
      </c>
      <c r="I61" s="110" t="str">
        <f>IF(AND(D61&lt;&gt;"",F61&lt;&gt;"Full Refresher"),'G2 MT Reading Scoresheet'!$P63,"")</f>
        <v/>
      </c>
      <c r="J61" s="124" t="str">
        <f>'G2 MT Reading Scoresheet'!$U63</f>
        <v/>
      </c>
      <c r="K61" s="121" t="str">
        <f>'G2 FIL Reading Scoresheet'!$J63</f>
        <v/>
      </c>
      <c r="L61" s="122" t="str">
        <f>IF($C61&lt;&gt;"",'G2 FIL Reading Scoresheet'!$I63/30,"")</f>
        <v/>
      </c>
      <c r="M61" s="122" t="str">
        <f>IF(AND($C61&lt;&gt;"",$K61&lt;&gt;"Full Refresher"),'G2 FIL Reading Scoresheet'!$Q63,"")</f>
        <v/>
      </c>
      <c r="N61" s="122" t="str">
        <f>IF(AND($C61&lt;&gt;"",K61&lt;&gt;"Full Refresher"),'G2 FIL Reading Scoresheet'!$R63/6,"")</f>
        <v/>
      </c>
      <c r="O61" s="121" t="str">
        <f>IF(AND(C61&lt;&gt;"",K61&lt;&gt;"Full Refresher"),'G2 FIL Reading Scoresheet'!$P63,"")</f>
        <v/>
      </c>
      <c r="P61" s="125" t="str">
        <f>'G2 FIL Reading Scoresheet'!$U63</f>
        <v/>
      </c>
      <c r="Q61" s="126" t="str">
        <f>CONCATENATE(IF(ISBLANK('G2 MT Reading Scoresheet'!V63),"",CONCATENATE("MT:",TRIM('G2 MT Reading Scoresheet'!V63)))," ",IF(ISBLANK('G2 FIL Reading Scoresheet'!V63),"",CONCATENATE("FIL:",TRIM('G2 FIL Reading Scoresheet'!V63))))</f>
        <v/>
      </c>
    </row>
    <row r="62" spans="1:17">
      <c r="A62" s="112">
        <v>54</v>
      </c>
      <c r="B62" s="113" t="str">
        <f>IF('G2 MT Reading Scoresheet'!B64&lt;&gt;"",'G2 MT Reading Scoresheet'!B64,"")</f>
        <v/>
      </c>
      <c r="C62" s="114" t="str">
        <f>IF('G2 MT Reading Scoresheet'!C64&lt;&gt;"",'G2 MT Reading Scoresheet'!C64,"")</f>
        <v/>
      </c>
      <c r="D62" s="115" t="str">
        <f>IF('G2 MT Reading Scoresheet'!D64&lt;&gt;"",'G2 MT Reading Scoresheet'!D64,"")</f>
        <v/>
      </c>
      <c r="E62" s="110" t="str">
        <f>'G2 MT Reading Scoresheet'!$J64</f>
        <v/>
      </c>
      <c r="F62" s="111" t="str">
        <f>IF(C62&lt;&gt;"",'G2 MT Reading Scoresheet'!$I64/30,"")</f>
        <v/>
      </c>
      <c r="G62" s="111" t="str">
        <f>IF(AND($C62&lt;&gt;"",$E62&lt;&gt;"Full Refresher"),'G2 MT Reading Scoresheet'!$Q64,"")</f>
        <v/>
      </c>
      <c r="H62" s="111" t="str">
        <f>IF(AND(C62&lt;&gt;"",E62&lt;&gt;"Full Refresher"),'G2 MT Reading Scoresheet'!$R64/6,"")</f>
        <v/>
      </c>
      <c r="I62" s="110" t="str">
        <f>IF(AND(D62&lt;&gt;"",F62&lt;&gt;"Full Refresher"),'G2 MT Reading Scoresheet'!$P64,"")</f>
        <v/>
      </c>
      <c r="J62" s="124" t="str">
        <f>'G2 MT Reading Scoresheet'!$U64</f>
        <v/>
      </c>
      <c r="K62" s="121" t="str">
        <f>'G2 FIL Reading Scoresheet'!$J64</f>
        <v/>
      </c>
      <c r="L62" s="122" t="str">
        <f>IF($C62&lt;&gt;"",'G2 FIL Reading Scoresheet'!$I64/30,"")</f>
        <v/>
      </c>
      <c r="M62" s="122" t="str">
        <f>IF(AND($C62&lt;&gt;"",$K62&lt;&gt;"Full Refresher"),'G2 FIL Reading Scoresheet'!$Q64,"")</f>
        <v/>
      </c>
      <c r="N62" s="122" t="str">
        <f>IF(AND($C62&lt;&gt;"",K62&lt;&gt;"Full Refresher"),'G2 FIL Reading Scoresheet'!$R64/6,"")</f>
        <v/>
      </c>
      <c r="O62" s="121" t="str">
        <f>IF(AND(C62&lt;&gt;"",K62&lt;&gt;"Full Refresher"),'G2 FIL Reading Scoresheet'!$P64,"")</f>
        <v/>
      </c>
      <c r="P62" s="125" t="str">
        <f>'G2 FIL Reading Scoresheet'!$U64</f>
        <v/>
      </c>
      <c r="Q62" s="127" t="str">
        <f>CONCATENATE(IF(ISBLANK('G2 MT Reading Scoresheet'!V64),"",CONCATENATE("MT:",TRIM('G2 MT Reading Scoresheet'!V64)))," ",IF(ISBLANK('G2 FIL Reading Scoresheet'!V64),"",CONCATENATE("FIL:",TRIM('G2 FIL Reading Scoresheet'!V64))))</f>
        <v/>
      </c>
    </row>
    <row r="63" spans="1:17">
      <c r="A63" s="106">
        <v>55</v>
      </c>
      <c r="B63" s="107" t="str">
        <f>IF('G2 MT Reading Scoresheet'!B65&lt;&gt;"",'G2 MT Reading Scoresheet'!B65,"")</f>
        <v/>
      </c>
      <c r="C63" s="108" t="str">
        <f>IF('G2 MT Reading Scoresheet'!C65&lt;&gt;"",'G2 MT Reading Scoresheet'!C65,"")</f>
        <v/>
      </c>
      <c r="D63" s="109" t="str">
        <f>IF('G2 MT Reading Scoresheet'!D65&lt;&gt;"",'G2 MT Reading Scoresheet'!D65,"")</f>
        <v/>
      </c>
      <c r="E63" s="110" t="str">
        <f>'G2 MT Reading Scoresheet'!$J65</f>
        <v/>
      </c>
      <c r="F63" s="111" t="str">
        <f>IF(C63&lt;&gt;"",'G2 MT Reading Scoresheet'!$I65/30,"")</f>
        <v/>
      </c>
      <c r="G63" s="111" t="str">
        <f>IF(AND($C63&lt;&gt;"",$E63&lt;&gt;"Full Refresher"),'G2 MT Reading Scoresheet'!$Q65,"")</f>
        <v/>
      </c>
      <c r="H63" s="111" t="str">
        <f>IF(AND(C63&lt;&gt;"",E63&lt;&gt;"Full Refresher"),'G2 MT Reading Scoresheet'!$R65/6,"")</f>
        <v/>
      </c>
      <c r="I63" s="110" t="str">
        <f>IF(AND(D63&lt;&gt;"",F63&lt;&gt;"Full Refresher"),'G2 MT Reading Scoresheet'!$P65,"")</f>
        <v/>
      </c>
      <c r="J63" s="124" t="str">
        <f>'G2 MT Reading Scoresheet'!$U65</f>
        <v/>
      </c>
      <c r="K63" s="121" t="str">
        <f>'G2 FIL Reading Scoresheet'!$J65</f>
        <v/>
      </c>
      <c r="L63" s="122" t="str">
        <f>IF($C63&lt;&gt;"",'G2 FIL Reading Scoresheet'!$I65/30,"")</f>
        <v/>
      </c>
      <c r="M63" s="122" t="str">
        <f>IF(AND($C63&lt;&gt;"",$K63&lt;&gt;"Full Refresher"),'G2 FIL Reading Scoresheet'!$Q65,"")</f>
        <v/>
      </c>
      <c r="N63" s="122" t="str">
        <f>IF(AND($C63&lt;&gt;"",K63&lt;&gt;"Full Refresher"),'G2 FIL Reading Scoresheet'!$R65/6,"")</f>
        <v/>
      </c>
      <c r="O63" s="121" t="str">
        <f>IF(AND(C63&lt;&gt;"",K63&lt;&gt;"Full Refresher"),'G2 FIL Reading Scoresheet'!$P65,"")</f>
        <v/>
      </c>
      <c r="P63" s="125" t="str">
        <f>'G2 FIL Reading Scoresheet'!$U65</f>
        <v/>
      </c>
      <c r="Q63" s="126" t="str">
        <f>CONCATENATE(IF(ISBLANK('G2 MT Reading Scoresheet'!V65),"",CONCATENATE("MT:",TRIM('G2 MT Reading Scoresheet'!V65)))," ",IF(ISBLANK('G2 FIL Reading Scoresheet'!V65),"",CONCATENATE("FIL:",TRIM('G2 FIL Reading Scoresheet'!V65))))</f>
        <v/>
      </c>
    </row>
    <row r="64" spans="1:17">
      <c r="A64" s="112">
        <v>56</v>
      </c>
      <c r="B64" s="113" t="str">
        <f>IF('G2 MT Reading Scoresheet'!B66&lt;&gt;"",'G2 MT Reading Scoresheet'!B66,"")</f>
        <v/>
      </c>
      <c r="C64" s="114" t="str">
        <f>IF('G2 MT Reading Scoresheet'!C66&lt;&gt;"",'G2 MT Reading Scoresheet'!C66,"")</f>
        <v/>
      </c>
      <c r="D64" s="115" t="str">
        <f>IF('G2 MT Reading Scoresheet'!D66&lt;&gt;"",'G2 MT Reading Scoresheet'!D66,"")</f>
        <v/>
      </c>
      <c r="E64" s="110" t="str">
        <f>'G2 MT Reading Scoresheet'!$J66</f>
        <v/>
      </c>
      <c r="F64" s="111" t="str">
        <f>IF(C64&lt;&gt;"",'G2 MT Reading Scoresheet'!$I66/30,"")</f>
        <v/>
      </c>
      <c r="G64" s="111" t="str">
        <f>IF(AND($C64&lt;&gt;"",$E64&lt;&gt;"Full Refresher"),'G2 MT Reading Scoresheet'!$Q66,"")</f>
        <v/>
      </c>
      <c r="H64" s="111" t="str">
        <f>IF(AND(C64&lt;&gt;"",E64&lt;&gt;"Full Refresher"),'G2 MT Reading Scoresheet'!$R66/6,"")</f>
        <v/>
      </c>
      <c r="I64" s="110" t="str">
        <f>IF(AND(D64&lt;&gt;"",F64&lt;&gt;"Full Refresher"),'G2 MT Reading Scoresheet'!$P66,"")</f>
        <v/>
      </c>
      <c r="J64" s="124" t="str">
        <f>'G2 MT Reading Scoresheet'!$U66</f>
        <v/>
      </c>
      <c r="K64" s="121" t="str">
        <f>'G2 FIL Reading Scoresheet'!$J66</f>
        <v/>
      </c>
      <c r="L64" s="122" t="str">
        <f>IF($C64&lt;&gt;"",'G2 FIL Reading Scoresheet'!$I66/30,"")</f>
        <v/>
      </c>
      <c r="M64" s="122" t="str">
        <f>IF(AND($C64&lt;&gt;"",$K64&lt;&gt;"Full Refresher"),'G2 FIL Reading Scoresheet'!$Q66,"")</f>
        <v/>
      </c>
      <c r="N64" s="122" t="str">
        <f>IF(AND($C64&lt;&gt;"",K64&lt;&gt;"Full Refresher"),'G2 FIL Reading Scoresheet'!$R66/6,"")</f>
        <v/>
      </c>
      <c r="O64" s="121" t="str">
        <f>IF(AND(C64&lt;&gt;"",K64&lt;&gt;"Full Refresher"),'G2 FIL Reading Scoresheet'!$P66,"")</f>
        <v/>
      </c>
      <c r="P64" s="125" t="str">
        <f>'G2 FIL Reading Scoresheet'!$U66</f>
        <v/>
      </c>
      <c r="Q64" s="127" t="str">
        <f>CONCATENATE(IF(ISBLANK('G2 MT Reading Scoresheet'!V66),"",CONCATENATE("MT:",TRIM('G2 MT Reading Scoresheet'!V66)))," ",IF(ISBLANK('G2 FIL Reading Scoresheet'!V66),"",CONCATENATE("FIL:",TRIM('G2 FIL Reading Scoresheet'!V66))))</f>
        <v/>
      </c>
    </row>
    <row r="65" spans="1:17">
      <c r="A65" s="106">
        <v>57</v>
      </c>
      <c r="B65" s="107" t="str">
        <f>IF('G2 MT Reading Scoresheet'!B67&lt;&gt;"",'G2 MT Reading Scoresheet'!B67,"")</f>
        <v/>
      </c>
      <c r="C65" s="108" t="str">
        <f>IF('G2 MT Reading Scoresheet'!C67&lt;&gt;"",'G2 MT Reading Scoresheet'!C67,"")</f>
        <v/>
      </c>
      <c r="D65" s="109" t="str">
        <f>IF('G2 MT Reading Scoresheet'!D67&lt;&gt;"",'G2 MT Reading Scoresheet'!D67,"")</f>
        <v/>
      </c>
      <c r="E65" s="110" t="str">
        <f>'G2 MT Reading Scoresheet'!$J67</f>
        <v/>
      </c>
      <c r="F65" s="111" t="str">
        <f>IF(C65&lt;&gt;"",'G2 MT Reading Scoresheet'!$I67/30,"")</f>
        <v/>
      </c>
      <c r="G65" s="111" t="str">
        <f>IF(AND($C65&lt;&gt;"",$E65&lt;&gt;"Full Refresher"),'G2 MT Reading Scoresheet'!$Q67,"")</f>
        <v/>
      </c>
      <c r="H65" s="111" t="str">
        <f>IF(AND(C65&lt;&gt;"",E65&lt;&gt;"Full Refresher"),'G2 MT Reading Scoresheet'!$R67/6,"")</f>
        <v/>
      </c>
      <c r="I65" s="110" t="str">
        <f>IF(AND(D65&lt;&gt;"",F65&lt;&gt;"Full Refresher"),'G2 MT Reading Scoresheet'!$P67,"")</f>
        <v/>
      </c>
      <c r="J65" s="124" t="str">
        <f>'G2 MT Reading Scoresheet'!$U67</f>
        <v/>
      </c>
      <c r="K65" s="121" t="str">
        <f>'G2 FIL Reading Scoresheet'!$J67</f>
        <v/>
      </c>
      <c r="L65" s="122" t="str">
        <f>IF($C65&lt;&gt;"",'G2 FIL Reading Scoresheet'!$I67/30,"")</f>
        <v/>
      </c>
      <c r="M65" s="122" t="str">
        <f>IF(AND($C65&lt;&gt;"",$K65&lt;&gt;"Full Refresher"),'G2 FIL Reading Scoresheet'!$Q67,"")</f>
        <v/>
      </c>
      <c r="N65" s="122" t="str">
        <f>IF(AND($C65&lt;&gt;"",K65&lt;&gt;"Full Refresher"),'G2 FIL Reading Scoresheet'!$R67/6,"")</f>
        <v/>
      </c>
      <c r="O65" s="121" t="str">
        <f>IF(AND(C65&lt;&gt;"",K65&lt;&gt;"Full Refresher"),'G2 FIL Reading Scoresheet'!$P67,"")</f>
        <v/>
      </c>
      <c r="P65" s="125" t="str">
        <f>'G2 FIL Reading Scoresheet'!$U67</f>
        <v/>
      </c>
      <c r="Q65" s="126" t="str">
        <f>CONCATENATE(IF(ISBLANK('G2 MT Reading Scoresheet'!V67),"",CONCATENATE("MT:",TRIM('G2 MT Reading Scoresheet'!V67)))," ",IF(ISBLANK('G2 FIL Reading Scoresheet'!V67),"",CONCATENATE("FIL:",TRIM('G2 FIL Reading Scoresheet'!V67))))</f>
        <v/>
      </c>
    </row>
    <row r="66" spans="1:17">
      <c r="A66" s="112">
        <v>58</v>
      </c>
      <c r="B66" s="113" t="str">
        <f>IF('G2 MT Reading Scoresheet'!B68&lt;&gt;"",'G2 MT Reading Scoresheet'!B68,"")</f>
        <v/>
      </c>
      <c r="C66" s="114" t="str">
        <f>IF('G2 MT Reading Scoresheet'!C68&lt;&gt;"",'G2 MT Reading Scoresheet'!C68,"")</f>
        <v/>
      </c>
      <c r="D66" s="115" t="str">
        <f>IF('G2 MT Reading Scoresheet'!D68&lt;&gt;"",'G2 MT Reading Scoresheet'!D68,"")</f>
        <v/>
      </c>
      <c r="E66" s="110" t="str">
        <f>'G2 MT Reading Scoresheet'!$J68</f>
        <v/>
      </c>
      <c r="F66" s="111" t="str">
        <f>IF(C66&lt;&gt;"",'G2 MT Reading Scoresheet'!$I68/30,"")</f>
        <v/>
      </c>
      <c r="G66" s="111" t="str">
        <f>IF(AND($C66&lt;&gt;"",$E66&lt;&gt;"Full Refresher"),'G2 MT Reading Scoresheet'!$Q68,"")</f>
        <v/>
      </c>
      <c r="H66" s="111" t="str">
        <f>IF(AND(C66&lt;&gt;"",E66&lt;&gt;"Full Refresher"),'G2 MT Reading Scoresheet'!$R68/6,"")</f>
        <v/>
      </c>
      <c r="I66" s="110" t="str">
        <f>IF(AND(D66&lt;&gt;"",F66&lt;&gt;"Full Refresher"),'G2 MT Reading Scoresheet'!$P68,"")</f>
        <v/>
      </c>
      <c r="J66" s="124" t="str">
        <f>'G2 MT Reading Scoresheet'!$U68</f>
        <v/>
      </c>
      <c r="K66" s="121" t="str">
        <f>'G2 FIL Reading Scoresheet'!$J68</f>
        <v/>
      </c>
      <c r="L66" s="122" t="str">
        <f>IF($C66&lt;&gt;"",'G2 FIL Reading Scoresheet'!$I68/30,"")</f>
        <v/>
      </c>
      <c r="M66" s="122" t="str">
        <f>IF(AND($C66&lt;&gt;"",$K66&lt;&gt;"Full Refresher"),'G2 FIL Reading Scoresheet'!$Q68,"")</f>
        <v/>
      </c>
      <c r="N66" s="122" t="str">
        <f>IF(AND($C66&lt;&gt;"",K66&lt;&gt;"Full Refresher"),'G2 FIL Reading Scoresheet'!$R68/6,"")</f>
        <v/>
      </c>
      <c r="O66" s="121" t="str">
        <f>IF(AND(C66&lt;&gt;"",K66&lt;&gt;"Full Refresher"),'G2 FIL Reading Scoresheet'!$P68,"")</f>
        <v/>
      </c>
      <c r="P66" s="125" t="str">
        <f>'G2 FIL Reading Scoresheet'!$U68</f>
        <v/>
      </c>
      <c r="Q66" s="127" t="str">
        <f>CONCATENATE(IF(ISBLANK('G2 MT Reading Scoresheet'!V68),"",CONCATENATE("MT:",TRIM('G2 MT Reading Scoresheet'!V68)))," ",IF(ISBLANK('G2 FIL Reading Scoresheet'!V68),"",CONCATENATE("FIL:",TRIM('G2 FIL Reading Scoresheet'!V68))))</f>
        <v/>
      </c>
    </row>
    <row r="67" spans="1:17">
      <c r="A67" s="106">
        <v>59</v>
      </c>
      <c r="B67" s="107" t="str">
        <f>IF('G2 MT Reading Scoresheet'!B69&lt;&gt;"",'G2 MT Reading Scoresheet'!B69,"")</f>
        <v/>
      </c>
      <c r="C67" s="108" t="str">
        <f>IF('G2 MT Reading Scoresheet'!C69&lt;&gt;"",'G2 MT Reading Scoresheet'!C69,"")</f>
        <v/>
      </c>
      <c r="D67" s="109" t="str">
        <f>IF('G2 MT Reading Scoresheet'!D69&lt;&gt;"",'G2 MT Reading Scoresheet'!D69,"")</f>
        <v/>
      </c>
      <c r="E67" s="110" t="str">
        <f>'G2 MT Reading Scoresheet'!$J69</f>
        <v/>
      </c>
      <c r="F67" s="111" t="str">
        <f>IF(C67&lt;&gt;"",'G2 MT Reading Scoresheet'!$I69/30,"")</f>
        <v/>
      </c>
      <c r="G67" s="111" t="str">
        <f>IF(AND($C67&lt;&gt;"",$E67&lt;&gt;"Full Refresher"),'G2 MT Reading Scoresheet'!$Q69,"")</f>
        <v/>
      </c>
      <c r="H67" s="111" t="str">
        <f>IF(AND(C67&lt;&gt;"",E67&lt;&gt;"Full Refresher"),'G2 MT Reading Scoresheet'!$R69/6,"")</f>
        <v/>
      </c>
      <c r="I67" s="110" t="str">
        <f>IF(AND(D67&lt;&gt;"",F67&lt;&gt;"Full Refresher"),'G2 MT Reading Scoresheet'!$P69,"")</f>
        <v/>
      </c>
      <c r="J67" s="124" t="str">
        <f>'G2 MT Reading Scoresheet'!$U69</f>
        <v/>
      </c>
      <c r="K67" s="121" t="str">
        <f>'G2 FIL Reading Scoresheet'!$J69</f>
        <v/>
      </c>
      <c r="L67" s="122" t="str">
        <f>IF($C67&lt;&gt;"",'G2 FIL Reading Scoresheet'!$I69/30,"")</f>
        <v/>
      </c>
      <c r="M67" s="122" t="str">
        <f>IF(AND($C67&lt;&gt;"",$K67&lt;&gt;"Full Refresher"),'G2 FIL Reading Scoresheet'!$Q69,"")</f>
        <v/>
      </c>
      <c r="N67" s="122" t="str">
        <f>IF(AND($C67&lt;&gt;"",K67&lt;&gt;"Full Refresher"),'G2 FIL Reading Scoresheet'!$R69/6,"")</f>
        <v/>
      </c>
      <c r="O67" s="121" t="str">
        <f>IF(AND(C67&lt;&gt;"",K67&lt;&gt;"Full Refresher"),'G2 FIL Reading Scoresheet'!$P69,"")</f>
        <v/>
      </c>
      <c r="P67" s="125" t="str">
        <f>'G2 FIL Reading Scoresheet'!$U69</f>
        <v/>
      </c>
      <c r="Q67" s="126" t="str">
        <f>CONCATENATE(IF(ISBLANK('G2 MT Reading Scoresheet'!V69),"",CONCATENATE("MT:",TRIM('G2 MT Reading Scoresheet'!V69)))," ",IF(ISBLANK('G2 FIL Reading Scoresheet'!V69),"",CONCATENATE("FIL:",TRIM('G2 FIL Reading Scoresheet'!V69))))</f>
        <v/>
      </c>
    </row>
    <row r="68" spans="1:17">
      <c r="A68" s="112">
        <f>A67+1</f>
        <v>60</v>
      </c>
      <c r="B68" s="113" t="str">
        <f>IF('G2 MT Reading Scoresheet'!B70&lt;&gt;"",'G2 MT Reading Scoresheet'!B70,"")</f>
        <v/>
      </c>
      <c r="C68" s="114" t="str">
        <f>IF('G2 MT Reading Scoresheet'!C70&lt;&gt;"",'G2 MT Reading Scoresheet'!C70,"")</f>
        <v/>
      </c>
      <c r="D68" s="115" t="str">
        <f>IF('G2 MT Reading Scoresheet'!D70&lt;&gt;"",'G2 MT Reading Scoresheet'!D70,"")</f>
        <v/>
      </c>
      <c r="E68" s="110" t="str">
        <f>'G2 MT Reading Scoresheet'!$J70</f>
        <v/>
      </c>
      <c r="F68" s="111" t="str">
        <f>IF(C68&lt;&gt;"",'G2 MT Reading Scoresheet'!$I70/30,"")</f>
        <v/>
      </c>
      <c r="G68" s="111" t="str">
        <f>IF(AND($C68&lt;&gt;"",$E68&lt;&gt;"Full Refresher"),'G2 MT Reading Scoresheet'!$Q70,"")</f>
        <v/>
      </c>
      <c r="H68" s="111" t="str">
        <f>IF(AND(C68&lt;&gt;"",E68&lt;&gt;"Full Refresher"),'G2 MT Reading Scoresheet'!$R70/6,"")</f>
        <v/>
      </c>
      <c r="I68" s="110" t="str">
        <f>IF(AND(D68&lt;&gt;"",F68&lt;&gt;"Full Refresher"),'G2 MT Reading Scoresheet'!$P70,"")</f>
        <v/>
      </c>
      <c r="J68" s="124" t="str">
        <f>'G2 MT Reading Scoresheet'!$U70</f>
        <v/>
      </c>
      <c r="K68" s="121" t="str">
        <f>'G2 FIL Reading Scoresheet'!$J70</f>
        <v/>
      </c>
      <c r="L68" s="122" t="str">
        <f>IF($C68&lt;&gt;"",'G2 FIL Reading Scoresheet'!$I70/30,"")</f>
        <v/>
      </c>
      <c r="M68" s="122" t="str">
        <f>IF(AND($C68&lt;&gt;"",$K68&lt;&gt;"Full Refresher"),'G2 FIL Reading Scoresheet'!$Q70,"")</f>
        <v/>
      </c>
      <c r="N68" s="122" t="str">
        <f>IF(AND($C68&lt;&gt;"",K68&lt;&gt;"Full Refresher"),'G2 FIL Reading Scoresheet'!$R70/6,"")</f>
        <v/>
      </c>
      <c r="O68" s="121" t="str">
        <f>IF(AND(C68&lt;&gt;"",K68&lt;&gt;"Full Refresher"),'G2 FIL Reading Scoresheet'!$P70,"")</f>
        <v/>
      </c>
      <c r="P68" s="125" t="str">
        <f>'G2 FIL Reading Scoresheet'!$U70</f>
        <v/>
      </c>
      <c r="Q68" s="127" t="str">
        <f>CONCATENATE(IF(ISBLANK('G2 MT Reading Scoresheet'!V70),"",CONCATENATE("MT:",TRIM('G2 MT Reading Scoresheet'!V70)))," ",IF(ISBLANK('G2 FIL Reading Scoresheet'!V70),"",CONCATENATE("FIL:",TRIM('G2 FIL Reading Scoresheet'!V70))))</f>
        <v/>
      </c>
    </row>
    <row r="69" spans="1:17">
      <c r="A69" s="106">
        <f t="shared" ref="A69:A107" si="0">A68+1</f>
        <v>61</v>
      </c>
      <c r="B69" s="107" t="str">
        <f>IF('G2 MT Reading Scoresheet'!B71&lt;&gt;"",'G2 MT Reading Scoresheet'!B71,"")</f>
        <v/>
      </c>
      <c r="C69" s="108" t="str">
        <f>IF('G2 MT Reading Scoresheet'!C71&lt;&gt;"",'G2 MT Reading Scoresheet'!C71,"")</f>
        <v/>
      </c>
      <c r="D69" s="109" t="str">
        <f>IF('G2 MT Reading Scoresheet'!D71&lt;&gt;"",'G2 MT Reading Scoresheet'!D71,"")</f>
        <v/>
      </c>
      <c r="E69" s="110" t="str">
        <f>'G2 MT Reading Scoresheet'!$J71</f>
        <v/>
      </c>
      <c r="F69" s="111" t="str">
        <f>IF(C69&lt;&gt;"",'G2 MT Reading Scoresheet'!$I71/30,"")</f>
        <v/>
      </c>
      <c r="G69" s="111" t="str">
        <f>IF(AND($C69&lt;&gt;"",$E69&lt;&gt;"Full Refresher"),'G2 MT Reading Scoresheet'!$Q71,"")</f>
        <v/>
      </c>
      <c r="H69" s="111" t="str">
        <f>IF(AND(C69&lt;&gt;"",E69&lt;&gt;"Full Refresher"),'G2 MT Reading Scoresheet'!$R71/6,"")</f>
        <v/>
      </c>
      <c r="I69" s="110" t="str">
        <f>IF(AND(D69&lt;&gt;"",F69&lt;&gt;"Full Refresher"),'G2 MT Reading Scoresheet'!$P71,"")</f>
        <v/>
      </c>
      <c r="J69" s="124" t="str">
        <f>'G2 MT Reading Scoresheet'!$U71</f>
        <v/>
      </c>
      <c r="K69" s="121" t="str">
        <f>'G2 FIL Reading Scoresheet'!$J71</f>
        <v/>
      </c>
      <c r="L69" s="122" t="str">
        <f>IF($C69&lt;&gt;"",'G2 FIL Reading Scoresheet'!$I71/30,"")</f>
        <v/>
      </c>
      <c r="M69" s="122" t="str">
        <f>IF(AND($C69&lt;&gt;"",$K69&lt;&gt;"Full Refresher"),'G2 FIL Reading Scoresheet'!$Q71,"")</f>
        <v/>
      </c>
      <c r="N69" s="122" t="str">
        <f>IF(AND($C69&lt;&gt;"",K69&lt;&gt;"Full Refresher"),'G2 FIL Reading Scoresheet'!$R71/6,"")</f>
        <v/>
      </c>
      <c r="O69" s="121" t="str">
        <f>IF(AND(C69&lt;&gt;"",K69&lt;&gt;"Full Refresher"),'G2 FIL Reading Scoresheet'!$P71,"")</f>
        <v/>
      </c>
      <c r="P69" s="125" t="str">
        <f>'G2 FIL Reading Scoresheet'!$U71</f>
        <v/>
      </c>
      <c r="Q69" s="126" t="str">
        <f>CONCATENATE(IF(ISBLANK('G2 MT Reading Scoresheet'!V71),"",CONCATENATE("MT:",TRIM('G2 MT Reading Scoresheet'!V71)))," ",IF(ISBLANK('G2 FIL Reading Scoresheet'!V71),"",CONCATENATE("FIL:",TRIM('G2 FIL Reading Scoresheet'!V71))))</f>
        <v/>
      </c>
    </row>
    <row r="70" spans="1:17">
      <c r="A70" s="112">
        <f t="shared" si="0"/>
        <v>62</v>
      </c>
      <c r="B70" s="113" t="str">
        <f>IF('G2 MT Reading Scoresheet'!B72&lt;&gt;"",'G2 MT Reading Scoresheet'!B72,"")</f>
        <v/>
      </c>
      <c r="C70" s="114" t="str">
        <f>IF('G2 MT Reading Scoresheet'!C72&lt;&gt;"",'G2 MT Reading Scoresheet'!C72,"")</f>
        <v/>
      </c>
      <c r="D70" s="115" t="str">
        <f>IF('G2 MT Reading Scoresheet'!D72&lt;&gt;"",'G2 MT Reading Scoresheet'!D72,"")</f>
        <v/>
      </c>
      <c r="E70" s="110" t="str">
        <f>'G2 MT Reading Scoresheet'!$J72</f>
        <v/>
      </c>
      <c r="F70" s="111" t="str">
        <f>IF(C70&lt;&gt;"",'G2 MT Reading Scoresheet'!$I72/30,"")</f>
        <v/>
      </c>
      <c r="G70" s="111" t="str">
        <f>IF(AND($C70&lt;&gt;"",$E70&lt;&gt;"Full Refresher"),'G2 MT Reading Scoresheet'!$Q72,"")</f>
        <v/>
      </c>
      <c r="H70" s="111" t="str">
        <f>IF(AND(C70&lt;&gt;"",E70&lt;&gt;"Full Refresher"),'G2 MT Reading Scoresheet'!$R72/6,"")</f>
        <v/>
      </c>
      <c r="I70" s="110" t="str">
        <f>IF(AND(D70&lt;&gt;"",F70&lt;&gt;"Full Refresher"),'G2 MT Reading Scoresheet'!$P72,"")</f>
        <v/>
      </c>
      <c r="J70" s="124" t="str">
        <f>'G2 MT Reading Scoresheet'!$U72</f>
        <v/>
      </c>
      <c r="K70" s="121" t="str">
        <f>'G2 FIL Reading Scoresheet'!$J72</f>
        <v/>
      </c>
      <c r="L70" s="122" t="str">
        <f>IF($C70&lt;&gt;"",'G2 FIL Reading Scoresheet'!$I72/30,"")</f>
        <v/>
      </c>
      <c r="M70" s="122" t="str">
        <f>IF(AND($C70&lt;&gt;"",$K70&lt;&gt;"Full Refresher"),'G2 FIL Reading Scoresheet'!$Q72,"")</f>
        <v/>
      </c>
      <c r="N70" s="122" t="str">
        <f>IF(AND($C70&lt;&gt;"",K70&lt;&gt;"Full Refresher"),'G2 FIL Reading Scoresheet'!$R72/6,"")</f>
        <v/>
      </c>
      <c r="O70" s="121" t="str">
        <f>IF(AND(C70&lt;&gt;"",K70&lt;&gt;"Full Refresher"),'G2 FIL Reading Scoresheet'!$P72,"")</f>
        <v/>
      </c>
      <c r="P70" s="125" t="str">
        <f>'G2 FIL Reading Scoresheet'!$U72</f>
        <v/>
      </c>
      <c r="Q70" s="127" t="str">
        <f>CONCATENATE(IF(ISBLANK('G2 MT Reading Scoresheet'!V72),"",CONCATENATE("MT:",TRIM('G2 MT Reading Scoresheet'!V72)))," ",IF(ISBLANK('G2 FIL Reading Scoresheet'!V72),"",CONCATENATE("FIL:",TRIM('G2 FIL Reading Scoresheet'!V72))))</f>
        <v/>
      </c>
    </row>
    <row r="71" spans="1:17">
      <c r="A71" s="106">
        <f t="shared" si="0"/>
        <v>63</v>
      </c>
      <c r="B71" s="107" t="str">
        <f>IF('G2 MT Reading Scoresheet'!B73&lt;&gt;"",'G2 MT Reading Scoresheet'!B73,"")</f>
        <v/>
      </c>
      <c r="C71" s="108" t="str">
        <f>IF('G2 MT Reading Scoresheet'!C73&lt;&gt;"",'G2 MT Reading Scoresheet'!C73,"")</f>
        <v/>
      </c>
      <c r="D71" s="109" t="str">
        <f>IF('G2 MT Reading Scoresheet'!D73&lt;&gt;"",'G2 MT Reading Scoresheet'!D73,"")</f>
        <v/>
      </c>
      <c r="E71" s="110" t="str">
        <f>'G2 MT Reading Scoresheet'!$J73</f>
        <v/>
      </c>
      <c r="F71" s="111" t="str">
        <f>IF(C71&lt;&gt;"",'G2 MT Reading Scoresheet'!$I73/30,"")</f>
        <v/>
      </c>
      <c r="G71" s="111" t="str">
        <f>IF(AND($C71&lt;&gt;"",$E71&lt;&gt;"Full Refresher"),'G2 MT Reading Scoresheet'!$Q73,"")</f>
        <v/>
      </c>
      <c r="H71" s="111" t="str">
        <f>IF(AND(C71&lt;&gt;"",E71&lt;&gt;"Full Refresher"),'G2 MT Reading Scoresheet'!$R73/6,"")</f>
        <v/>
      </c>
      <c r="I71" s="110" t="str">
        <f>IF(AND(D71&lt;&gt;"",F71&lt;&gt;"Full Refresher"),'G2 MT Reading Scoresheet'!$P73,"")</f>
        <v/>
      </c>
      <c r="J71" s="124" t="str">
        <f>'G2 MT Reading Scoresheet'!$U73</f>
        <v/>
      </c>
      <c r="K71" s="121" t="str">
        <f>'G2 FIL Reading Scoresheet'!$J73</f>
        <v/>
      </c>
      <c r="L71" s="122" t="str">
        <f>IF($C71&lt;&gt;"",'G2 FIL Reading Scoresheet'!$I73/30,"")</f>
        <v/>
      </c>
      <c r="M71" s="122" t="str">
        <f>IF(AND($C71&lt;&gt;"",$K71&lt;&gt;"Full Refresher"),'G2 FIL Reading Scoresheet'!$Q73,"")</f>
        <v/>
      </c>
      <c r="N71" s="122" t="str">
        <f>IF(AND($C71&lt;&gt;"",K71&lt;&gt;"Full Refresher"),'G2 FIL Reading Scoresheet'!$R73/6,"")</f>
        <v/>
      </c>
      <c r="O71" s="121" t="str">
        <f>IF(AND(C71&lt;&gt;"",K71&lt;&gt;"Full Refresher"),'G2 FIL Reading Scoresheet'!$P73,"")</f>
        <v/>
      </c>
      <c r="P71" s="125" t="str">
        <f>'G2 FIL Reading Scoresheet'!$U73</f>
        <v/>
      </c>
      <c r="Q71" s="126" t="str">
        <f>CONCATENATE(IF(ISBLANK('G2 MT Reading Scoresheet'!V73),"",CONCATENATE("MT:",TRIM('G2 MT Reading Scoresheet'!V73)))," ",IF(ISBLANK('G2 FIL Reading Scoresheet'!V73),"",CONCATENATE("FIL:",TRIM('G2 FIL Reading Scoresheet'!V73))))</f>
        <v/>
      </c>
    </row>
    <row r="72" spans="1:17">
      <c r="A72" s="112">
        <f t="shared" si="0"/>
        <v>64</v>
      </c>
      <c r="B72" s="113" t="str">
        <f>IF('G2 MT Reading Scoresheet'!B74&lt;&gt;"",'G2 MT Reading Scoresheet'!B74,"")</f>
        <v/>
      </c>
      <c r="C72" s="114" t="str">
        <f>IF('G2 MT Reading Scoresheet'!C74&lt;&gt;"",'G2 MT Reading Scoresheet'!C74,"")</f>
        <v/>
      </c>
      <c r="D72" s="115" t="str">
        <f>IF('G2 MT Reading Scoresheet'!D74&lt;&gt;"",'G2 MT Reading Scoresheet'!D74,"")</f>
        <v/>
      </c>
      <c r="E72" s="110" t="str">
        <f>'G2 MT Reading Scoresheet'!$J74</f>
        <v/>
      </c>
      <c r="F72" s="111" t="str">
        <f>IF(C72&lt;&gt;"",'G2 MT Reading Scoresheet'!$I74/30,"")</f>
        <v/>
      </c>
      <c r="G72" s="111" t="str">
        <f>IF(AND($C72&lt;&gt;"",$E72&lt;&gt;"Full Refresher"),'G2 MT Reading Scoresheet'!$Q74,"")</f>
        <v/>
      </c>
      <c r="H72" s="111" t="str">
        <f>IF(AND(C72&lt;&gt;"",E72&lt;&gt;"Full Refresher"),'G2 MT Reading Scoresheet'!$R74/6,"")</f>
        <v/>
      </c>
      <c r="I72" s="110" t="str">
        <f>IF(AND(D72&lt;&gt;"",F72&lt;&gt;"Full Refresher"),'G2 MT Reading Scoresheet'!$P74,"")</f>
        <v/>
      </c>
      <c r="J72" s="124" t="str">
        <f>'G2 MT Reading Scoresheet'!$U74</f>
        <v/>
      </c>
      <c r="K72" s="121" t="str">
        <f>'G2 FIL Reading Scoresheet'!$J74</f>
        <v/>
      </c>
      <c r="L72" s="122" t="str">
        <f>IF($C72&lt;&gt;"",'G2 FIL Reading Scoresheet'!$I74/30,"")</f>
        <v/>
      </c>
      <c r="M72" s="122" t="str">
        <f>IF(AND($C72&lt;&gt;"",$K72&lt;&gt;"Full Refresher"),'G2 FIL Reading Scoresheet'!$Q74,"")</f>
        <v/>
      </c>
      <c r="N72" s="122" t="str">
        <f>IF(AND($C72&lt;&gt;"",K72&lt;&gt;"Full Refresher"),'G2 FIL Reading Scoresheet'!$R74/6,"")</f>
        <v/>
      </c>
      <c r="O72" s="121" t="str">
        <f>IF(AND(C72&lt;&gt;"",K72&lt;&gt;"Full Refresher"),'G2 FIL Reading Scoresheet'!$P74,"")</f>
        <v/>
      </c>
      <c r="P72" s="125" t="str">
        <f>'G2 FIL Reading Scoresheet'!$U74</f>
        <v/>
      </c>
      <c r="Q72" s="127" t="str">
        <f>CONCATENATE(IF(ISBLANK('G2 MT Reading Scoresheet'!V74),"",CONCATENATE("MT:",TRIM('G2 MT Reading Scoresheet'!V74)))," ",IF(ISBLANK('G2 FIL Reading Scoresheet'!V74),"",CONCATENATE("FIL:",TRIM('G2 FIL Reading Scoresheet'!V74))))</f>
        <v/>
      </c>
    </row>
    <row r="73" spans="1:17">
      <c r="A73" s="106">
        <f t="shared" si="0"/>
        <v>65</v>
      </c>
      <c r="B73" s="107" t="str">
        <f>IF('G2 MT Reading Scoresheet'!B75&lt;&gt;"",'G2 MT Reading Scoresheet'!B75,"")</f>
        <v/>
      </c>
      <c r="C73" s="108" t="str">
        <f>IF('G2 MT Reading Scoresheet'!C75&lt;&gt;"",'G2 MT Reading Scoresheet'!C75,"")</f>
        <v/>
      </c>
      <c r="D73" s="109" t="str">
        <f>IF('G2 MT Reading Scoresheet'!D75&lt;&gt;"",'G2 MT Reading Scoresheet'!D75,"")</f>
        <v/>
      </c>
      <c r="E73" s="110" t="str">
        <f>'G2 MT Reading Scoresheet'!$J75</f>
        <v/>
      </c>
      <c r="F73" s="111" t="str">
        <f>IF(C73&lt;&gt;"",'G2 MT Reading Scoresheet'!$I75/30,"")</f>
        <v/>
      </c>
      <c r="G73" s="111" t="str">
        <f>IF(AND($C73&lt;&gt;"",$E73&lt;&gt;"Full Refresher"),'G2 MT Reading Scoresheet'!$Q75,"")</f>
        <v/>
      </c>
      <c r="H73" s="111" t="str">
        <f>IF(AND(C73&lt;&gt;"",E73&lt;&gt;"Full Refresher"),'G2 MT Reading Scoresheet'!$R75/6,"")</f>
        <v/>
      </c>
      <c r="I73" s="110" t="str">
        <f>IF(AND(D73&lt;&gt;"",F73&lt;&gt;"Full Refresher"),'G2 MT Reading Scoresheet'!$P75,"")</f>
        <v/>
      </c>
      <c r="J73" s="124" t="str">
        <f>'G2 MT Reading Scoresheet'!$U75</f>
        <v/>
      </c>
      <c r="K73" s="121" t="str">
        <f>'G2 FIL Reading Scoresheet'!$J75</f>
        <v/>
      </c>
      <c r="L73" s="122" t="str">
        <f>IF($C73&lt;&gt;"",'G2 FIL Reading Scoresheet'!$I75/30,"")</f>
        <v/>
      </c>
      <c r="M73" s="122" t="str">
        <f>IF(AND($C73&lt;&gt;"",$K73&lt;&gt;"Full Refresher"),'G2 FIL Reading Scoresheet'!$Q75,"")</f>
        <v/>
      </c>
      <c r="N73" s="122" t="str">
        <f>IF(AND($C73&lt;&gt;"",K73&lt;&gt;"Full Refresher"),'G2 FIL Reading Scoresheet'!$R75/6,"")</f>
        <v/>
      </c>
      <c r="O73" s="121" t="str">
        <f>IF(AND(C73&lt;&gt;"",K73&lt;&gt;"Full Refresher"),'G2 FIL Reading Scoresheet'!$P75,"")</f>
        <v/>
      </c>
      <c r="P73" s="125" t="str">
        <f>'G2 FIL Reading Scoresheet'!$U75</f>
        <v/>
      </c>
      <c r="Q73" s="126" t="str">
        <f>CONCATENATE(IF(ISBLANK('G2 MT Reading Scoresheet'!V75),"",CONCATENATE("MT:",TRIM('G2 MT Reading Scoresheet'!V75)))," ",IF(ISBLANK('G2 FIL Reading Scoresheet'!V75),"",CONCATENATE("FIL:",TRIM('G2 FIL Reading Scoresheet'!V75))))</f>
        <v/>
      </c>
    </row>
    <row r="74" spans="1:17">
      <c r="A74" s="112">
        <f t="shared" si="0"/>
        <v>66</v>
      </c>
      <c r="B74" s="113" t="str">
        <f>IF('G2 MT Reading Scoresheet'!B76&lt;&gt;"",'G2 MT Reading Scoresheet'!B76,"")</f>
        <v/>
      </c>
      <c r="C74" s="114" t="str">
        <f>IF('G2 MT Reading Scoresheet'!C76&lt;&gt;"",'G2 MT Reading Scoresheet'!C76,"")</f>
        <v/>
      </c>
      <c r="D74" s="115" t="str">
        <f>IF('G2 MT Reading Scoresheet'!D76&lt;&gt;"",'G2 MT Reading Scoresheet'!D76,"")</f>
        <v/>
      </c>
      <c r="E74" s="110" t="str">
        <f>'G2 MT Reading Scoresheet'!$J76</f>
        <v/>
      </c>
      <c r="F74" s="111" t="str">
        <f>IF(C74&lt;&gt;"",'G2 MT Reading Scoresheet'!$I76/30,"")</f>
        <v/>
      </c>
      <c r="G74" s="111" t="str">
        <f>IF(AND($C74&lt;&gt;"",$E74&lt;&gt;"Full Refresher"),'G2 MT Reading Scoresheet'!$Q76,"")</f>
        <v/>
      </c>
      <c r="H74" s="111" t="str">
        <f>IF(AND(C74&lt;&gt;"",E74&lt;&gt;"Full Refresher"),'G2 MT Reading Scoresheet'!$R76/6,"")</f>
        <v/>
      </c>
      <c r="I74" s="110" t="str">
        <f>IF(AND(D74&lt;&gt;"",F74&lt;&gt;"Full Refresher"),'G2 MT Reading Scoresheet'!$P76,"")</f>
        <v/>
      </c>
      <c r="J74" s="124" t="str">
        <f>'G2 MT Reading Scoresheet'!$U76</f>
        <v/>
      </c>
      <c r="K74" s="121" t="str">
        <f>'G2 FIL Reading Scoresheet'!$J76</f>
        <v/>
      </c>
      <c r="L74" s="122" t="str">
        <f>IF($C74&lt;&gt;"",'G2 FIL Reading Scoresheet'!$I76/30,"")</f>
        <v/>
      </c>
      <c r="M74" s="122" t="str">
        <f>IF(AND($C74&lt;&gt;"",$K74&lt;&gt;"Full Refresher"),'G2 FIL Reading Scoresheet'!$Q76,"")</f>
        <v/>
      </c>
      <c r="N74" s="122" t="str">
        <f>IF(AND($C74&lt;&gt;"",K74&lt;&gt;"Full Refresher"),'G2 FIL Reading Scoresheet'!$R76/6,"")</f>
        <v/>
      </c>
      <c r="O74" s="121" t="str">
        <f>IF(AND(C74&lt;&gt;"",K74&lt;&gt;"Full Refresher"),'G2 FIL Reading Scoresheet'!$P76,"")</f>
        <v/>
      </c>
      <c r="P74" s="125" t="str">
        <f>'G2 FIL Reading Scoresheet'!$U76</f>
        <v/>
      </c>
      <c r="Q74" s="127" t="str">
        <f>CONCATENATE(IF(ISBLANK('G2 MT Reading Scoresheet'!V76),"",CONCATENATE("MT:",TRIM('G2 MT Reading Scoresheet'!V76)))," ",IF(ISBLANK('G2 FIL Reading Scoresheet'!V76),"",CONCATENATE("FIL:",TRIM('G2 FIL Reading Scoresheet'!V76))))</f>
        <v/>
      </c>
    </row>
    <row r="75" spans="1:17">
      <c r="A75" s="106">
        <f t="shared" si="0"/>
        <v>67</v>
      </c>
      <c r="B75" s="107" t="str">
        <f>IF('G2 MT Reading Scoresheet'!B77&lt;&gt;"",'G2 MT Reading Scoresheet'!B77,"")</f>
        <v/>
      </c>
      <c r="C75" s="108" t="str">
        <f>IF('G2 MT Reading Scoresheet'!C77&lt;&gt;"",'G2 MT Reading Scoresheet'!C77,"")</f>
        <v/>
      </c>
      <c r="D75" s="109" t="str">
        <f>IF('G2 MT Reading Scoresheet'!D77&lt;&gt;"",'G2 MT Reading Scoresheet'!D77,"")</f>
        <v/>
      </c>
      <c r="E75" s="110" t="str">
        <f>'G2 MT Reading Scoresheet'!$J77</f>
        <v/>
      </c>
      <c r="F75" s="111" t="str">
        <f>IF(C75&lt;&gt;"",'G2 MT Reading Scoresheet'!$I77/30,"")</f>
        <v/>
      </c>
      <c r="G75" s="111" t="str">
        <f>IF(AND($C75&lt;&gt;"",$E75&lt;&gt;"Full Refresher"),'G2 MT Reading Scoresheet'!$Q77,"")</f>
        <v/>
      </c>
      <c r="H75" s="111" t="str">
        <f>IF(AND(C75&lt;&gt;"",E75&lt;&gt;"Full Refresher"),'G2 MT Reading Scoresheet'!$R77/6,"")</f>
        <v/>
      </c>
      <c r="I75" s="110" t="str">
        <f>IF(AND(D75&lt;&gt;"",F75&lt;&gt;"Full Refresher"),'G2 MT Reading Scoresheet'!$P77,"")</f>
        <v/>
      </c>
      <c r="J75" s="124" t="str">
        <f>'G2 MT Reading Scoresheet'!$U77</f>
        <v/>
      </c>
      <c r="K75" s="121" t="str">
        <f>'G2 FIL Reading Scoresheet'!$J77</f>
        <v/>
      </c>
      <c r="L75" s="122" t="str">
        <f>IF($C75&lt;&gt;"",'G2 FIL Reading Scoresheet'!$I77/30,"")</f>
        <v/>
      </c>
      <c r="M75" s="122" t="str">
        <f>IF(AND($C75&lt;&gt;"",$K75&lt;&gt;"Full Refresher"),'G2 FIL Reading Scoresheet'!$Q77,"")</f>
        <v/>
      </c>
      <c r="N75" s="122" t="str">
        <f>IF(AND($C75&lt;&gt;"",K75&lt;&gt;"Full Refresher"),'G2 FIL Reading Scoresheet'!$R77/6,"")</f>
        <v/>
      </c>
      <c r="O75" s="121" t="str">
        <f>IF(AND(C75&lt;&gt;"",K75&lt;&gt;"Full Refresher"),'G2 FIL Reading Scoresheet'!$P77,"")</f>
        <v/>
      </c>
      <c r="P75" s="125" t="str">
        <f>'G2 FIL Reading Scoresheet'!$U77</f>
        <v/>
      </c>
      <c r="Q75" s="126" t="str">
        <f>CONCATENATE(IF(ISBLANK('G2 MT Reading Scoresheet'!V77),"",CONCATENATE("MT:",TRIM('G2 MT Reading Scoresheet'!V77)))," ",IF(ISBLANK('G2 FIL Reading Scoresheet'!V77),"",CONCATENATE("FIL:",TRIM('G2 FIL Reading Scoresheet'!V77))))</f>
        <v/>
      </c>
    </row>
    <row r="76" spans="1:17">
      <c r="A76" s="112">
        <f t="shared" si="0"/>
        <v>68</v>
      </c>
      <c r="B76" s="113" t="str">
        <f>IF('G2 MT Reading Scoresheet'!B78&lt;&gt;"",'G2 MT Reading Scoresheet'!B78,"")</f>
        <v/>
      </c>
      <c r="C76" s="114" t="str">
        <f>IF('G2 MT Reading Scoresheet'!C78&lt;&gt;"",'G2 MT Reading Scoresheet'!C78,"")</f>
        <v/>
      </c>
      <c r="D76" s="115" t="str">
        <f>IF('G2 MT Reading Scoresheet'!D78&lt;&gt;"",'G2 MT Reading Scoresheet'!D78,"")</f>
        <v/>
      </c>
      <c r="E76" s="110" t="str">
        <f>'G2 MT Reading Scoresheet'!$J78</f>
        <v/>
      </c>
      <c r="F76" s="111" t="str">
        <f>IF(C76&lt;&gt;"",'G2 MT Reading Scoresheet'!$I78/30,"")</f>
        <v/>
      </c>
      <c r="G76" s="111" t="str">
        <f>IF(AND($C76&lt;&gt;"",$E76&lt;&gt;"Full Refresher"),'G2 MT Reading Scoresheet'!$Q78,"")</f>
        <v/>
      </c>
      <c r="H76" s="111" t="str">
        <f>IF(AND(C76&lt;&gt;"",E76&lt;&gt;"Full Refresher"),'G2 MT Reading Scoresheet'!$R78/6,"")</f>
        <v/>
      </c>
      <c r="I76" s="110" t="str">
        <f>IF(AND(D76&lt;&gt;"",F76&lt;&gt;"Full Refresher"),'G2 MT Reading Scoresheet'!$P78,"")</f>
        <v/>
      </c>
      <c r="J76" s="124" t="str">
        <f>'G2 MT Reading Scoresheet'!$U78</f>
        <v/>
      </c>
      <c r="K76" s="121" t="str">
        <f>'G2 FIL Reading Scoresheet'!$J78</f>
        <v/>
      </c>
      <c r="L76" s="122" t="str">
        <f>IF($C76&lt;&gt;"",'G2 FIL Reading Scoresheet'!$I78/30,"")</f>
        <v/>
      </c>
      <c r="M76" s="122" t="str">
        <f>IF(AND($C76&lt;&gt;"",$K76&lt;&gt;"Full Refresher"),'G2 FIL Reading Scoresheet'!$Q78,"")</f>
        <v/>
      </c>
      <c r="N76" s="122" t="str">
        <f>IF(AND($C76&lt;&gt;"",K76&lt;&gt;"Full Refresher"),'G2 FIL Reading Scoresheet'!$R78/6,"")</f>
        <v/>
      </c>
      <c r="O76" s="121" t="str">
        <f>IF(AND(C76&lt;&gt;"",K76&lt;&gt;"Full Refresher"),'G2 FIL Reading Scoresheet'!$P78,"")</f>
        <v/>
      </c>
      <c r="P76" s="125" t="str">
        <f>'G2 FIL Reading Scoresheet'!$U78</f>
        <v/>
      </c>
      <c r="Q76" s="127" t="str">
        <f>CONCATENATE(IF(ISBLANK('G2 MT Reading Scoresheet'!V78),"",CONCATENATE("MT:",TRIM('G2 MT Reading Scoresheet'!V78)))," ",IF(ISBLANK('G2 FIL Reading Scoresheet'!V78),"",CONCATENATE("FIL:",TRIM('G2 FIL Reading Scoresheet'!V78))))</f>
        <v/>
      </c>
    </row>
    <row r="77" spans="1:17">
      <c r="A77" s="106">
        <f t="shared" si="0"/>
        <v>69</v>
      </c>
      <c r="B77" s="107" t="str">
        <f>IF('G2 MT Reading Scoresheet'!B79&lt;&gt;"",'G2 MT Reading Scoresheet'!B79,"")</f>
        <v/>
      </c>
      <c r="C77" s="108" t="str">
        <f>IF('G2 MT Reading Scoresheet'!C79&lt;&gt;"",'G2 MT Reading Scoresheet'!C79,"")</f>
        <v/>
      </c>
      <c r="D77" s="109" t="str">
        <f>IF('G2 MT Reading Scoresheet'!D79&lt;&gt;"",'G2 MT Reading Scoresheet'!D79,"")</f>
        <v/>
      </c>
      <c r="E77" s="110" t="str">
        <f>'G2 MT Reading Scoresheet'!$J79</f>
        <v/>
      </c>
      <c r="F77" s="111" t="str">
        <f>IF(C77&lt;&gt;"",'G2 MT Reading Scoresheet'!$I79/30,"")</f>
        <v/>
      </c>
      <c r="G77" s="111" t="str">
        <f>IF(AND($C77&lt;&gt;"",$E77&lt;&gt;"Full Refresher"),'G2 MT Reading Scoresheet'!$Q79,"")</f>
        <v/>
      </c>
      <c r="H77" s="111" t="str">
        <f>IF(AND(C77&lt;&gt;"",E77&lt;&gt;"Full Refresher"),'G2 MT Reading Scoresheet'!$R79/6,"")</f>
        <v/>
      </c>
      <c r="I77" s="110" t="str">
        <f>IF(AND(D77&lt;&gt;"",F77&lt;&gt;"Full Refresher"),'G2 MT Reading Scoresheet'!$P79,"")</f>
        <v/>
      </c>
      <c r="J77" s="124" t="str">
        <f>'G2 MT Reading Scoresheet'!$U79</f>
        <v/>
      </c>
      <c r="K77" s="121" t="str">
        <f>'G2 FIL Reading Scoresheet'!$J79</f>
        <v/>
      </c>
      <c r="L77" s="122" t="str">
        <f>IF($C77&lt;&gt;"",'G2 FIL Reading Scoresheet'!$I79/30,"")</f>
        <v/>
      </c>
      <c r="M77" s="122" t="str">
        <f>IF(AND($C77&lt;&gt;"",$K77&lt;&gt;"Full Refresher"),'G2 FIL Reading Scoresheet'!$Q79,"")</f>
        <v/>
      </c>
      <c r="N77" s="122" t="str">
        <f>IF(AND($C77&lt;&gt;"",K77&lt;&gt;"Full Refresher"),'G2 FIL Reading Scoresheet'!$R79/6,"")</f>
        <v/>
      </c>
      <c r="O77" s="121" t="str">
        <f>IF(AND(C77&lt;&gt;"",K77&lt;&gt;"Full Refresher"),'G2 FIL Reading Scoresheet'!$P79,"")</f>
        <v/>
      </c>
      <c r="P77" s="125" t="str">
        <f>'G2 FIL Reading Scoresheet'!$U79</f>
        <v/>
      </c>
      <c r="Q77" s="126" t="str">
        <f>CONCATENATE(IF(ISBLANK('G2 MT Reading Scoresheet'!V79),"",CONCATENATE("MT:",TRIM('G2 MT Reading Scoresheet'!V79)))," ",IF(ISBLANK('G2 FIL Reading Scoresheet'!V79),"",CONCATENATE("FIL:",TRIM('G2 FIL Reading Scoresheet'!V79))))</f>
        <v/>
      </c>
    </row>
    <row r="78" spans="1:17">
      <c r="A78" s="112">
        <f t="shared" si="0"/>
        <v>70</v>
      </c>
      <c r="B78" s="113" t="str">
        <f>IF('G2 MT Reading Scoresheet'!B80&lt;&gt;"",'G2 MT Reading Scoresheet'!B80,"")</f>
        <v/>
      </c>
      <c r="C78" s="114" t="str">
        <f>IF('G2 MT Reading Scoresheet'!C80&lt;&gt;"",'G2 MT Reading Scoresheet'!C80,"")</f>
        <v/>
      </c>
      <c r="D78" s="115" t="str">
        <f>IF('G2 MT Reading Scoresheet'!D80&lt;&gt;"",'G2 MT Reading Scoresheet'!D80,"")</f>
        <v/>
      </c>
      <c r="E78" s="110" t="str">
        <f>'G2 MT Reading Scoresheet'!$J80</f>
        <v/>
      </c>
      <c r="F78" s="111" t="str">
        <f>IF(C78&lt;&gt;"",'G2 MT Reading Scoresheet'!$I80/30,"")</f>
        <v/>
      </c>
      <c r="G78" s="111" t="str">
        <f>IF(AND($C78&lt;&gt;"",$E78&lt;&gt;"Full Refresher"),'G2 MT Reading Scoresheet'!$Q80,"")</f>
        <v/>
      </c>
      <c r="H78" s="111" t="str">
        <f>IF(AND(C78&lt;&gt;"",E78&lt;&gt;"Full Refresher"),'G2 MT Reading Scoresheet'!$R80/6,"")</f>
        <v/>
      </c>
      <c r="I78" s="110" t="str">
        <f>IF(AND(D78&lt;&gt;"",F78&lt;&gt;"Full Refresher"),'G2 MT Reading Scoresheet'!$P80,"")</f>
        <v/>
      </c>
      <c r="J78" s="124" t="str">
        <f>'G2 MT Reading Scoresheet'!$U80</f>
        <v/>
      </c>
      <c r="K78" s="121" t="str">
        <f>'G2 FIL Reading Scoresheet'!$J80</f>
        <v/>
      </c>
      <c r="L78" s="122" t="str">
        <f>IF($C78&lt;&gt;"",'G2 FIL Reading Scoresheet'!$I80/30,"")</f>
        <v/>
      </c>
      <c r="M78" s="122" t="str">
        <f>IF(AND($C78&lt;&gt;"",$K78&lt;&gt;"Full Refresher"),'G2 FIL Reading Scoresheet'!$Q80,"")</f>
        <v/>
      </c>
      <c r="N78" s="122" t="str">
        <f>IF(AND($C78&lt;&gt;"",K78&lt;&gt;"Full Refresher"),'G2 FIL Reading Scoresheet'!$R80/6,"")</f>
        <v/>
      </c>
      <c r="O78" s="121" t="str">
        <f>IF(AND(C78&lt;&gt;"",K78&lt;&gt;"Full Refresher"),'G2 FIL Reading Scoresheet'!$P80,"")</f>
        <v/>
      </c>
      <c r="P78" s="125" t="str">
        <f>'G2 FIL Reading Scoresheet'!$U80</f>
        <v/>
      </c>
      <c r="Q78" s="127" t="str">
        <f>CONCATENATE(IF(ISBLANK('G2 MT Reading Scoresheet'!V80),"",CONCATENATE("MT:",TRIM('G2 MT Reading Scoresheet'!V80)))," ",IF(ISBLANK('G2 FIL Reading Scoresheet'!V80),"",CONCATENATE("FIL:",TRIM('G2 FIL Reading Scoresheet'!V80))))</f>
        <v/>
      </c>
    </row>
    <row r="79" spans="1:17">
      <c r="A79" s="106">
        <f t="shared" si="0"/>
        <v>71</v>
      </c>
      <c r="B79" s="107" t="str">
        <f>IF('G2 MT Reading Scoresheet'!B81&lt;&gt;"",'G2 MT Reading Scoresheet'!B81,"")</f>
        <v/>
      </c>
      <c r="C79" s="108" t="str">
        <f>IF('G2 MT Reading Scoresheet'!C81&lt;&gt;"",'G2 MT Reading Scoresheet'!C81,"")</f>
        <v/>
      </c>
      <c r="D79" s="109" t="str">
        <f>IF('G2 MT Reading Scoresheet'!D81&lt;&gt;"",'G2 MT Reading Scoresheet'!D81,"")</f>
        <v/>
      </c>
      <c r="E79" s="110" t="str">
        <f>'G2 MT Reading Scoresheet'!$J81</f>
        <v/>
      </c>
      <c r="F79" s="111" t="str">
        <f>IF(C79&lt;&gt;"",'G2 MT Reading Scoresheet'!$I81/30,"")</f>
        <v/>
      </c>
      <c r="G79" s="111" t="str">
        <f>IF(AND($C79&lt;&gt;"",$E79&lt;&gt;"Full Refresher"),'G2 MT Reading Scoresheet'!$Q81,"")</f>
        <v/>
      </c>
      <c r="H79" s="111" t="str">
        <f>IF(AND(C79&lt;&gt;"",E79&lt;&gt;"Full Refresher"),'G2 MT Reading Scoresheet'!$R81/6,"")</f>
        <v/>
      </c>
      <c r="I79" s="110" t="str">
        <f>IF(AND(D79&lt;&gt;"",F79&lt;&gt;"Full Refresher"),'G2 MT Reading Scoresheet'!$P81,"")</f>
        <v/>
      </c>
      <c r="J79" s="124" t="str">
        <f>'G2 MT Reading Scoresheet'!$U81</f>
        <v/>
      </c>
      <c r="K79" s="121" t="str">
        <f>'G2 FIL Reading Scoresheet'!$J81</f>
        <v/>
      </c>
      <c r="L79" s="122" t="str">
        <f>IF($C79&lt;&gt;"",'G2 FIL Reading Scoresheet'!$I81/30,"")</f>
        <v/>
      </c>
      <c r="M79" s="122" t="str">
        <f>IF(AND($C79&lt;&gt;"",$K79&lt;&gt;"Full Refresher"),'G2 FIL Reading Scoresheet'!$Q81,"")</f>
        <v/>
      </c>
      <c r="N79" s="122" t="str">
        <f>IF(AND($C79&lt;&gt;"",K79&lt;&gt;"Full Refresher"),'G2 FIL Reading Scoresheet'!$R81/6,"")</f>
        <v/>
      </c>
      <c r="O79" s="121" t="str">
        <f>IF(AND(C79&lt;&gt;"",K79&lt;&gt;"Full Refresher"),'G2 FIL Reading Scoresheet'!$P81,"")</f>
        <v/>
      </c>
      <c r="P79" s="125" t="str">
        <f>'G2 FIL Reading Scoresheet'!$U81</f>
        <v/>
      </c>
      <c r="Q79" s="126" t="str">
        <f>CONCATENATE(IF(ISBLANK('G2 MT Reading Scoresheet'!V81),"",CONCATENATE("MT:",TRIM('G2 MT Reading Scoresheet'!V81)))," ",IF(ISBLANK('G2 FIL Reading Scoresheet'!V81),"",CONCATENATE("FIL:",TRIM('G2 FIL Reading Scoresheet'!V81))))</f>
        <v/>
      </c>
    </row>
    <row r="80" spans="1:17">
      <c r="A80" s="112">
        <f t="shared" si="0"/>
        <v>72</v>
      </c>
      <c r="B80" s="113" t="str">
        <f>IF('G2 MT Reading Scoresheet'!B82&lt;&gt;"",'G2 MT Reading Scoresheet'!B82,"")</f>
        <v/>
      </c>
      <c r="C80" s="114" t="str">
        <f>IF('G2 MT Reading Scoresheet'!C82&lt;&gt;"",'G2 MT Reading Scoresheet'!C82,"")</f>
        <v/>
      </c>
      <c r="D80" s="115" t="str">
        <f>IF('G2 MT Reading Scoresheet'!D82&lt;&gt;"",'G2 MT Reading Scoresheet'!D82,"")</f>
        <v/>
      </c>
      <c r="E80" s="110" t="str">
        <f>'G2 MT Reading Scoresheet'!$J82</f>
        <v/>
      </c>
      <c r="F80" s="111" t="str">
        <f>IF(C80&lt;&gt;"",'G2 MT Reading Scoresheet'!$I82/30,"")</f>
        <v/>
      </c>
      <c r="G80" s="111" t="str">
        <f>IF(AND($C80&lt;&gt;"",$E80&lt;&gt;"Full Refresher"),'G2 MT Reading Scoresheet'!$Q82,"")</f>
        <v/>
      </c>
      <c r="H80" s="111" t="str">
        <f>IF(AND(C80&lt;&gt;"",E80&lt;&gt;"Full Refresher"),'G2 MT Reading Scoresheet'!$R82/6,"")</f>
        <v/>
      </c>
      <c r="I80" s="110" t="str">
        <f>IF(AND(D80&lt;&gt;"",F80&lt;&gt;"Full Refresher"),'G2 MT Reading Scoresheet'!$P82,"")</f>
        <v/>
      </c>
      <c r="J80" s="124" t="str">
        <f>'G2 MT Reading Scoresheet'!$U82</f>
        <v/>
      </c>
      <c r="K80" s="121" t="str">
        <f>'G2 FIL Reading Scoresheet'!$J82</f>
        <v/>
      </c>
      <c r="L80" s="122" t="str">
        <f>IF($C80&lt;&gt;"",'G2 FIL Reading Scoresheet'!$I82/30,"")</f>
        <v/>
      </c>
      <c r="M80" s="122" t="str">
        <f>IF(AND($C80&lt;&gt;"",$K80&lt;&gt;"Full Refresher"),'G2 FIL Reading Scoresheet'!$Q82,"")</f>
        <v/>
      </c>
      <c r="N80" s="122" t="str">
        <f>IF(AND($C80&lt;&gt;"",K80&lt;&gt;"Full Refresher"),'G2 FIL Reading Scoresheet'!$R82/6,"")</f>
        <v/>
      </c>
      <c r="O80" s="121" t="str">
        <f>IF(AND(C80&lt;&gt;"",K80&lt;&gt;"Full Refresher"),'G2 FIL Reading Scoresheet'!$P82,"")</f>
        <v/>
      </c>
      <c r="P80" s="125" t="str">
        <f>'G2 FIL Reading Scoresheet'!$U82</f>
        <v/>
      </c>
      <c r="Q80" s="127" t="str">
        <f>CONCATENATE(IF(ISBLANK('G2 MT Reading Scoresheet'!V82),"",CONCATENATE("MT:",TRIM('G2 MT Reading Scoresheet'!V82)))," ",IF(ISBLANK('G2 FIL Reading Scoresheet'!V82),"",CONCATENATE("FIL:",TRIM('G2 FIL Reading Scoresheet'!V82))))</f>
        <v/>
      </c>
    </row>
    <row r="81" spans="1:17">
      <c r="A81" s="106">
        <f t="shared" si="0"/>
        <v>73</v>
      </c>
      <c r="B81" s="107" t="str">
        <f>IF('G2 MT Reading Scoresheet'!B83&lt;&gt;"",'G2 MT Reading Scoresheet'!B83,"")</f>
        <v/>
      </c>
      <c r="C81" s="108" t="str">
        <f>IF('G2 MT Reading Scoresheet'!C83&lt;&gt;"",'G2 MT Reading Scoresheet'!C83,"")</f>
        <v/>
      </c>
      <c r="D81" s="109" t="str">
        <f>IF('G2 MT Reading Scoresheet'!D83&lt;&gt;"",'G2 MT Reading Scoresheet'!D83,"")</f>
        <v/>
      </c>
      <c r="E81" s="110" t="str">
        <f>'G2 MT Reading Scoresheet'!$J83</f>
        <v/>
      </c>
      <c r="F81" s="111" t="str">
        <f>IF(C81&lt;&gt;"",'G2 MT Reading Scoresheet'!$I83/30,"")</f>
        <v/>
      </c>
      <c r="G81" s="111" t="str">
        <f>IF(AND($C81&lt;&gt;"",$E81&lt;&gt;"Full Refresher"),'G2 MT Reading Scoresheet'!$Q83,"")</f>
        <v/>
      </c>
      <c r="H81" s="111" t="str">
        <f>IF(AND(C81&lt;&gt;"",E81&lt;&gt;"Full Refresher"),'G2 MT Reading Scoresheet'!$R83/6,"")</f>
        <v/>
      </c>
      <c r="I81" s="110" t="str">
        <f>IF(AND(D81&lt;&gt;"",F81&lt;&gt;"Full Refresher"),'G2 MT Reading Scoresheet'!$P83,"")</f>
        <v/>
      </c>
      <c r="J81" s="124" t="str">
        <f>'G2 MT Reading Scoresheet'!$U83</f>
        <v/>
      </c>
      <c r="K81" s="121" t="str">
        <f>'G2 FIL Reading Scoresheet'!$J83</f>
        <v/>
      </c>
      <c r="L81" s="122" t="str">
        <f>IF($C81&lt;&gt;"",'G2 FIL Reading Scoresheet'!$I83/30,"")</f>
        <v/>
      </c>
      <c r="M81" s="122" t="str">
        <f>IF(AND($C81&lt;&gt;"",$K81&lt;&gt;"Full Refresher"),'G2 FIL Reading Scoresheet'!$Q83,"")</f>
        <v/>
      </c>
      <c r="N81" s="122" t="str">
        <f>IF(AND($C81&lt;&gt;"",K81&lt;&gt;"Full Refresher"),'G2 FIL Reading Scoresheet'!$R83/6,"")</f>
        <v/>
      </c>
      <c r="O81" s="121" t="str">
        <f>IF(AND(C81&lt;&gt;"",K81&lt;&gt;"Full Refresher"),'G2 FIL Reading Scoresheet'!$P83,"")</f>
        <v/>
      </c>
      <c r="P81" s="125" t="str">
        <f>'G2 FIL Reading Scoresheet'!$U83</f>
        <v/>
      </c>
      <c r="Q81" s="126" t="str">
        <f>CONCATENATE(IF(ISBLANK('G2 MT Reading Scoresheet'!V83),"",CONCATENATE("MT:",TRIM('G2 MT Reading Scoresheet'!V83)))," ",IF(ISBLANK('G2 FIL Reading Scoresheet'!V83),"",CONCATENATE("FIL:",TRIM('G2 FIL Reading Scoresheet'!V83))))</f>
        <v/>
      </c>
    </row>
    <row r="82" spans="1:17">
      <c r="A82" s="112">
        <f t="shared" si="0"/>
        <v>74</v>
      </c>
      <c r="B82" s="113" t="str">
        <f>IF('G2 MT Reading Scoresheet'!B84&lt;&gt;"",'G2 MT Reading Scoresheet'!B84,"")</f>
        <v/>
      </c>
      <c r="C82" s="114" t="str">
        <f>IF('G2 MT Reading Scoresheet'!C84&lt;&gt;"",'G2 MT Reading Scoresheet'!C84,"")</f>
        <v/>
      </c>
      <c r="D82" s="115" t="str">
        <f>IF('G2 MT Reading Scoresheet'!D84&lt;&gt;"",'G2 MT Reading Scoresheet'!D84,"")</f>
        <v/>
      </c>
      <c r="E82" s="110" t="str">
        <f>'G2 MT Reading Scoresheet'!$J84</f>
        <v/>
      </c>
      <c r="F82" s="111" t="str">
        <f>IF(C82&lt;&gt;"",'G2 MT Reading Scoresheet'!$I84/30,"")</f>
        <v/>
      </c>
      <c r="G82" s="111" t="str">
        <f>IF(AND($C82&lt;&gt;"",$E82&lt;&gt;"Full Refresher"),'G2 MT Reading Scoresheet'!$Q84,"")</f>
        <v/>
      </c>
      <c r="H82" s="111" t="str">
        <f>IF(AND(C82&lt;&gt;"",E82&lt;&gt;"Full Refresher"),'G2 MT Reading Scoresheet'!$R84/6,"")</f>
        <v/>
      </c>
      <c r="I82" s="110" t="str">
        <f>IF(AND(D82&lt;&gt;"",F82&lt;&gt;"Full Refresher"),'G2 MT Reading Scoresheet'!$P84,"")</f>
        <v/>
      </c>
      <c r="J82" s="124" t="str">
        <f>'G2 MT Reading Scoresheet'!$U84</f>
        <v/>
      </c>
      <c r="K82" s="121" t="str">
        <f>'G2 FIL Reading Scoresheet'!$J84</f>
        <v/>
      </c>
      <c r="L82" s="122" t="str">
        <f>IF($C82&lt;&gt;"",'G2 FIL Reading Scoresheet'!$I84/30,"")</f>
        <v/>
      </c>
      <c r="M82" s="122" t="str">
        <f>IF(AND($C82&lt;&gt;"",$K82&lt;&gt;"Full Refresher"),'G2 FIL Reading Scoresheet'!$Q84,"")</f>
        <v/>
      </c>
      <c r="N82" s="122" t="str">
        <f>IF(AND($C82&lt;&gt;"",K82&lt;&gt;"Full Refresher"),'G2 FIL Reading Scoresheet'!$R84/6,"")</f>
        <v/>
      </c>
      <c r="O82" s="121" t="str">
        <f>IF(AND(C82&lt;&gt;"",K82&lt;&gt;"Full Refresher"),'G2 FIL Reading Scoresheet'!$P84,"")</f>
        <v/>
      </c>
      <c r="P82" s="125" t="str">
        <f>'G2 FIL Reading Scoresheet'!$U84</f>
        <v/>
      </c>
      <c r="Q82" s="127" t="str">
        <f>CONCATENATE(IF(ISBLANK('G2 MT Reading Scoresheet'!V84),"",CONCATENATE("MT:",TRIM('G2 MT Reading Scoresheet'!V84)))," ",IF(ISBLANK('G2 FIL Reading Scoresheet'!V84),"",CONCATENATE("FIL:",TRIM('G2 FIL Reading Scoresheet'!V84))))</f>
        <v/>
      </c>
    </row>
    <row r="83" spans="1:17">
      <c r="A83" s="106">
        <f t="shared" si="0"/>
        <v>75</v>
      </c>
      <c r="B83" s="107" t="str">
        <f>IF('G2 MT Reading Scoresheet'!B85&lt;&gt;"",'G2 MT Reading Scoresheet'!B85,"")</f>
        <v/>
      </c>
      <c r="C83" s="108" t="str">
        <f>IF('G2 MT Reading Scoresheet'!C85&lt;&gt;"",'G2 MT Reading Scoresheet'!C85,"")</f>
        <v/>
      </c>
      <c r="D83" s="109" t="str">
        <f>IF('G2 MT Reading Scoresheet'!D85&lt;&gt;"",'G2 MT Reading Scoresheet'!D85,"")</f>
        <v/>
      </c>
      <c r="E83" s="110" t="str">
        <f>'G2 MT Reading Scoresheet'!$J85</f>
        <v/>
      </c>
      <c r="F83" s="111" t="str">
        <f>IF(C83&lt;&gt;"",'G2 MT Reading Scoresheet'!$I85/30,"")</f>
        <v/>
      </c>
      <c r="G83" s="111" t="str">
        <f>IF(AND($C83&lt;&gt;"",$E83&lt;&gt;"Full Refresher"),'G2 MT Reading Scoresheet'!$Q85,"")</f>
        <v/>
      </c>
      <c r="H83" s="111" t="str">
        <f>IF(AND(C83&lt;&gt;"",E83&lt;&gt;"Full Refresher"),'G2 MT Reading Scoresheet'!$R85/6,"")</f>
        <v/>
      </c>
      <c r="I83" s="110" t="str">
        <f>IF(AND(D83&lt;&gt;"",F83&lt;&gt;"Full Refresher"),'G2 MT Reading Scoresheet'!$P85,"")</f>
        <v/>
      </c>
      <c r="J83" s="124" t="str">
        <f>'G2 MT Reading Scoresheet'!$U85</f>
        <v/>
      </c>
      <c r="K83" s="121" t="str">
        <f>'G2 FIL Reading Scoresheet'!$J85</f>
        <v/>
      </c>
      <c r="L83" s="122" t="str">
        <f>IF($C83&lt;&gt;"",'G2 FIL Reading Scoresheet'!$I85/30,"")</f>
        <v/>
      </c>
      <c r="M83" s="122" t="str">
        <f>IF(AND($C83&lt;&gt;"",$K83&lt;&gt;"Full Refresher"),'G2 FIL Reading Scoresheet'!$Q85,"")</f>
        <v/>
      </c>
      <c r="N83" s="122" t="str">
        <f>IF(AND($C83&lt;&gt;"",K83&lt;&gt;"Full Refresher"),'G2 FIL Reading Scoresheet'!$R85/6,"")</f>
        <v/>
      </c>
      <c r="O83" s="121" t="str">
        <f>IF(AND(C83&lt;&gt;"",K83&lt;&gt;"Full Refresher"),'G2 FIL Reading Scoresheet'!$P85,"")</f>
        <v/>
      </c>
      <c r="P83" s="125" t="str">
        <f>'G2 FIL Reading Scoresheet'!$U85</f>
        <v/>
      </c>
      <c r="Q83" s="126" t="str">
        <f>CONCATENATE(IF(ISBLANK('G2 MT Reading Scoresheet'!V85),"",CONCATENATE("MT:",TRIM('G2 MT Reading Scoresheet'!V85)))," ",IF(ISBLANK('G2 FIL Reading Scoresheet'!V85),"",CONCATENATE("FIL:",TRIM('G2 FIL Reading Scoresheet'!V85))))</f>
        <v/>
      </c>
    </row>
    <row r="84" spans="1:17">
      <c r="A84" s="112">
        <f t="shared" si="0"/>
        <v>76</v>
      </c>
      <c r="B84" s="113" t="str">
        <f>IF('G2 MT Reading Scoresheet'!B86&lt;&gt;"",'G2 MT Reading Scoresheet'!B86,"")</f>
        <v/>
      </c>
      <c r="C84" s="114" t="str">
        <f>IF('G2 MT Reading Scoresheet'!C86&lt;&gt;"",'G2 MT Reading Scoresheet'!C86,"")</f>
        <v/>
      </c>
      <c r="D84" s="115" t="str">
        <f>IF('G2 MT Reading Scoresheet'!D86&lt;&gt;"",'G2 MT Reading Scoresheet'!D86,"")</f>
        <v/>
      </c>
      <c r="E84" s="110" t="str">
        <f>'G2 MT Reading Scoresheet'!$J86</f>
        <v/>
      </c>
      <c r="F84" s="111" t="str">
        <f>IF(C84&lt;&gt;"",'G2 MT Reading Scoresheet'!$I86/30,"")</f>
        <v/>
      </c>
      <c r="G84" s="111" t="str">
        <f>IF(AND($C84&lt;&gt;"",$E84&lt;&gt;"Full Refresher"),'G2 MT Reading Scoresheet'!$Q86,"")</f>
        <v/>
      </c>
      <c r="H84" s="111" t="str">
        <f>IF(AND(C84&lt;&gt;"",E84&lt;&gt;"Full Refresher"),'G2 MT Reading Scoresheet'!$R86/6,"")</f>
        <v/>
      </c>
      <c r="I84" s="110" t="str">
        <f>IF(AND(D84&lt;&gt;"",F84&lt;&gt;"Full Refresher"),'G2 MT Reading Scoresheet'!$P86,"")</f>
        <v/>
      </c>
      <c r="J84" s="124" t="str">
        <f>'G2 MT Reading Scoresheet'!$U86</f>
        <v/>
      </c>
      <c r="K84" s="121" t="str">
        <f>'G2 FIL Reading Scoresheet'!$J86</f>
        <v/>
      </c>
      <c r="L84" s="122" t="str">
        <f>IF($C84&lt;&gt;"",'G2 FIL Reading Scoresheet'!$I86/30,"")</f>
        <v/>
      </c>
      <c r="M84" s="122" t="str">
        <f>IF(AND($C84&lt;&gt;"",$K84&lt;&gt;"Full Refresher"),'G2 FIL Reading Scoresheet'!$Q86,"")</f>
        <v/>
      </c>
      <c r="N84" s="122" t="str">
        <f>IF(AND($C84&lt;&gt;"",K84&lt;&gt;"Full Refresher"),'G2 FIL Reading Scoresheet'!$R86/6,"")</f>
        <v/>
      </c>
      <c r="O84" s="121" t="str">
        <f>IF(AND(C84&lt;&gt;"",K84&lt;&gt;"Full Refresher"),'G2 FIL Reading Scoresheet'!$P86,"")</f>
        <v/>
      </c>
      <c r="P84" s="125" t="str">
        <f>'G2 FIL Reading Scoresheet'!$U86</f>
        <v/>
      </c>
      <c r="Q84" s="127" t="str">
        <f>CONCATENATE(IF(ISBLANK('G2 MT Reading Scoresheet'!V86),"",CONCATENATE("MT:",TRIM('G2 MT Reading Scoresheet'!V86)))," ",IF(ISBLANK('G2 FIL Reading Scoresheet'!V86),"",CONCATENATE("FIL:",TRIM('G2 FIL Reading Scoresheet'!V86))))</f>
        <v/>
      </c>
    </row>
    <row r="85" spans="1:17">
      <c r="A85" s="106">
        <f t="shared" si="0"/>
        <v>77</v>
      </c>
      <c r="B85" s="107" t="str">
        <f>IF('G2 MT Reading Scoresheet'!B87&lt;&gt;"",'G2 MT Reading Scoresheet'!B87,"")</f>
        <v/>
      </c>
      <c r="C85" s="108" t="str">
        <f>IF('G2 MT Reading Scoresheet'!C87&lt;&gt;"",'G2 MT Reading Scoresheet'!C87,"")</f>
        <v/>
      </c>
      <c r="D85" s="109" t="str">
        <f>IF('G2 MT Reading Scoresheet'!D87&lt;&gt;"",'G2 MT Reading Scoresheet'!D87,"")</f>
        <v/>
      </c>
      <c r="E85" s="110" t="str">
        <f>'G2 MT Reading Scoresheet'!$J87</f>
        <v/>
      </c>
      <c r="F85" s="111" t="str">
        <f>IF(C85&lt;&gt;"",'G2 MT Reading Scoresheet'!$I87/30,"")</f>
        <v/>
      </c>
      <c r="G85" s="111" t="str">
        <f>IF(AND($C85&lt;&gt;"",$E85&lt;&gt;"Full Refresher"),'G2 MT Reading Scoresheet'!$Q87,"")</f>
        <v/>
      </c>
      <c r="H85" s="111" t="str">
        <f>IF(AND(C85&lt;&gt;"",E85&lt;&gt;"Full Refresher"),'G2 MT Reading Scoresheet'!$R87/6,"")</f>
        <v/>
      </c>
      <c r="I85" s="110" t="str">
        <f>IF(AND(D85&lt;&gt;"",F85&lt;&gt;"Full Refresher"),'G2 MT Reading Scoresheet'!$P87,"")</f>
        <v/>
      </c>
      <c r="J85" s="124" t="str">
        <f>'G2 MT Reading Scoresheet'!$U87</f>
        <v/>
      </c>
      <c r="K85" s="121" t="str">
        <f>'G2 FIL Reading Scoresheet'!$J87</f>
        <v/>
      </c>
      <c r="L85" s="122" t="str">
        <f>IF($C85&lt;&gt;"",'G2 FIL Reading Scoresheet'!$I87/30,"")</f>
        <v/>
      </c>
      <c r="M85" s="122" t="str">
        <f>IF(AND($C85&lt;&gt;"",$K85&lt;&gt;"Full Refresher"),'G2 FIL Reading Scoresheet'!$Q87,"")</f>
        <v/>
      </c>
      <c r="N85" s="122" t="str">
        <f>IF(AND($C85&lt;&gt;"",K85&lt;&gt;"Full Refresher"),'G2 FIL Reading Scoresheet'!$R87/6,"")</f>
        <v/>
      </c>
      <c r="O85" s="121" t="str">
        <f>IF(AND(C85&lt;&gt;"",K85&lt;&gt;"Full Refresher"),'G2 FIL Reading Scoresheet'!$P87,"")</f>
        <v/>
      </c>
      <c r="P85" s="125" t="str">
        <f>'G2 FIL Reading Scoresheet'!$U87</f>
        <v/>
      </c>
      <c r="Q85" s="126" t="str">
        <f>CONCATENATE(IF(ISBLANK('G2 MT Reading Scoresheet'!V87),"",CONCATENATE("MT:",TRIM('G2 MT Reading Scoresheet'!V87)))," ",IF(ISBLANK('G2 FIL Reading Scoresheet'!V87),"",CONCATENATE("FIL:",TRIM('G2 FIL Reading Scoresheet'!V87))))</f>
        <v/>
      </c>
    </row>
    <row r="86" spans="1:17">
      <c r="A86" s="112">
        <f t="shared" si="0"/>
        <v>78</v>
      </c>
      <c r="B86" s="113" t="str">
        <f>IF('G2 MT Reading Scoresheet'!B88&lt;&gt;"",'G2 MT Reading Scoresheet'!B88,"")</f>
        <v/>
      </c>
      <c r="C86" s="114" t="str">
        <f>IF('G2 MT Reading Scoresheet'!C88&lt;&gt;"",'G2 MT Reading Scoresheet'!C88,"")</f>
        <v/>
      </c>
      <c r="D86" s="115" t="str">
        <f>IF('G2 MT Reading Scoresheet'!D88&lt;&gt;"",'G2 MT Reading Scoresheet'!D88,"")</f>
        <v/>
      </c>
      <c r="E86" s="110" t="str">
        <f>'G2 MT Reading Scoresheet'!$J88</f>
        <v/>
      </c>
      <c r="F86" s="111" t="str">
        <f>IF(C86&lt;&gt;"",'G2 MT Reading Scoresheet'!$I88/30,"")</f>
        <v/>
      </c>
      <c r="G86" s="111" t="str">
        <f>IF(AND($C86&lt;&gt;"",$E86&lt;&gt;"Full Refresher"),'G2 MT Reading Scoresheet'!$Q88,"")</f>
        <v/>
      </c>
      <c r="H86" s="111" t="str">
        <f>IF(AND(C86&lt;&gt;"",E86&lt;&gt;"Full Refresher"),'G2 MT Reading Scoresheet'!$R88/6,"")</f>
        <v/>
      </c>
      <c r="I86" s="110" t="str">
        <f>IF(AND(D86&lt;&gt;"",F86&lt;&gt;"Full Refresher"),'G2 MT Reading Scoresheet'!$P88,"")</f>
        <v/>
      </c>
      <c r="J86" s="124" t="str">
        <f>'G2 MT Reading Scoresheet'!$U88</f>
        <v/>
      </c>
      <c r="K86" s="121" t="str">
        <f>'G2 FIL Reading Scoresheet'!$J88</f>
        <v/>
      </c>
      <c r="L86" s="122" t="str">
        <f>IF($C86&lt;&gt;"",'G2 FIL Reading Scoresheet'!$I88/30,"")</f>
        <v/>
      </c>
      <c r="M86" s="122" t="str">
        <f>IF(AND($C86&lt;&gt;"",$K86&lt;&gt;"Full Refresher"),'G2 FIL Reading Scoresheet'!$Q88,"")</f>
        <v/>
      </c>
      <c r="N86" s="122" t="str">
        <f>IF(AND($C86&lt;&gt;"",K86&lt;&gt;"Full Refresher"),'G2 FIL Reading Scoresheet'!$R88/6,"")</f>
        <v/>
      </c>
      <c r="O86" s="121" t="str">
        <f>IF(AND(C86&lt;&gt;"",K86&lt;&gt;"Full Refresher"),'G2 FIL Reading Scoresheet'!$P88,"")</f>
        <v/>
      </c>
      <c r="P86" s="125" t="str">
        <f>'G2 FIL Reading Scoresheet'!$U88</f>
        <v/>
      </c>
      <c r="Q86" s="127" t="str">
        <f>CONCATENATE(IF(ISBLANK('G2 MT Reading Scoresheet'!V88),"",CONCATENATE("MT:",TRIM('G2 MT Reading Scoresheet'!V88)))," ",IF(ISBLANK('G2 FIL Reading Scoresheet'!V88),"",CONCATENATE("FIL:",TRIM('G2 FIL Reading Scoresheet'!V88))))</f>
        <v/>
      </c>
    </row>
    <row r="87" spans="1:17">
      <c r="A87" s="106">
        <f t="shared" si="0"/>
        <v>79</v>
      </c>
      <c r="B87" s="107" t="str">
        <f>IF('G2 MT Reading Scoresheet'!B89&lt;&gt;"",'G2 MT Reading Scoresheet'!B89,"")</f>
        <v/>
      </c>
      <c r="C87" s="108" t="str">
        <f>IF('G2 MT Reading Scoresheet'!C89&lt;&gt;"",'G2 MT Reading Scoresheet'!C89,"")</f>
        <v/>
      </c>
      <c r="D87" s="109" t="str">
        <f>IF('G2 MT Reading Scoresheet'!D89&lt;&gt;"",'G2 MT Reading Scoresheet'!D89,"")</f>
        <v/>
      </c>
      <c r="E87" s="110" t="str">
        <f>'G2 MT Reading Scoresheet'!$J89</f>
        <v/>
      </c>
      <c r="F87" s="111" t="str">
        <f>IF(C87&lt;&gt;"",'G2 MT Reading Scoresheet'!$I89/30,"")</f>
        <v/>
      </c>
      <c r="G87" s="111" t="str">
        <f>IF(AND($C87&lt;&gt;"",$E87&lt;&gt;"Full Refresher"),'G2 MT Reading Scoresheet'!$Q89,"")</f>
        <v/>
      </c>
      <c r="H87" s="111" t="str">
        <f>IF(AND(C87&lt;&gt;"",E87&lt;&gt;"Full Refresher"),'G2 MT Reading Scoresheet'!$R89/6,"")</f>
        <v/>
      </c>
      <c r="I87" s="110" t="str">
        <f>IF(AND(D87&lt;&gt;"",F87&lt;&gt;"Full Refresher"),'G2 MT Reading Scoresheet'!$P89,"")</f>
        <v/>
      </c>
      <c r="J87" s="124" t="str">
        <f>'G2 MT Reading Scoresheet'!$U89</f>
        <v/>
      </c>
      <c r="K87" s="121" t="str">
        <f>'G2 FIL Reading Scoresheet'!$J89</f>
        <v/>
      </c>
      <c r="L87" s="122" t="str">
        <f>IF($C87&lt;&gt;"",'G2 FIL Reading Scoresheet'!$I89/30,"")</f>
        <v/>
      </c>
      <c r="M87" s="122" t="str">
        <f>IF(AND($C87&lt;&gt;"",$K87&lt;&gt;"Full Refresher"),'G2 FIL Reading Scoresheet'!$Q89,"")</f>
        <v/>
      </c>
      <c r="N87" s="122" t="str">
        <f>IF(AND($C87&lt;&gt;"",K87&lt;&gt;"Full Refresher"),'G2 FIL Reading Scoresheet'!$R89/6,"")</f>
        <v/>
      </c>
      <c r="O87" s="121" t="str">
        <f>IF(AND(C87&lt;&gt;"",K87&lt;&gt;"Full Refresher"),'G2 FIL Reading Scoresheet'!$P89,"")</f>
        <v/>
      </c>
      <c r="P87" s="125" t="str">
        <f>'G2 FIL Reading Scoresheet'!$U89</f>
        <v/>
      </c>
      <c r="Q87" s="126" t="str">
        <f>CONCATENATE(IF(ISBLANK('G2 MT Reading Scoresheet'!V89),"",CONCATENATE("MT:",TRIM('G2 MT Reading Scoresheet'!V89)))," ",IF(ISBLANK('G2 FIL Reading Scoresheet'!V89),"",CONCATENATE("FIL:",TRIM('G2 FIL Reading Scoresheet'!V89))))</f>
        <v/>
      </c>
    </row>
    <row r="88" spans="1:17">
      <c r="A88" s="112">
        <f t="shared" si="0"/>
        <v>80</v>
      </c>
      <c r="B88" s="113" t="str">
        <f>IF('G2 MT Reading Scoresheet'!B90&lt;&gt;"",'G2 MT Reading Scoresheet'!B90,"")</f>
        <v/>
      </c>
      <c r="C88" s="114" t="str">
        <f>IF('G2 MT Reading Scoresheet'!C90&lt;&gt;"",'G2 MT Reading Scoresheet'!C90,"")</f>
        <v/>
      </c>
      <c r="D88" s="115" t="str">
        <f>IF('G2 MT Reading Scoresheet'!D90&lt;&gt;"",'G2 MT Reading Scoresheet'!D90,"")</f>
        <v/>
      </c>
      <c r="E88" s="110" t="str">
        <f>'G2 MT Reading Scoresheet'!$J90</f>
        <v/>
      </c>
      <c r="F88" s="111" t="str">
        <f>IF(C88&lt;&gt;"",'G2 MT Reading Scoresheet'!$I90/30,"")</f>
        <v/>
      </c>
      <c r="G88" s="111" t="str">
        <f>IF(AND($C88&lt;&gt;"",$E88&lt;&gt;"Full Refresher"),'G2 MT Reading Scoresheet'!$Q90,"")</f>
        <v/>
      </c>
      <c r="H88" s="111" t="str">
        <f>IF(AND(C88&lt;&gt;"",E88&lt;&gt;"Full Refresher"),'G2 MT Reading Scoresheet'!$R90/6,"")</f>
        <v/>
      </c>
      <c r="I88" s="110" t="str">
        <f>IF(AND(D88&lt;&gt;"",F88&lt;&gt;"Full Refresher"),'G2 MT Reading Scoresheet'!$P90,"")</f>
        <v/>
      </c>
      <c r="J88" s="124" t="str">
        <f>'G2 MT Reading Scoresheet'!$U90</f>
        <v/>
      </c>
      <c r="K88" s="121" t="str">
        <f>'G2 FIL Reading Scoresheet'!$J90</f>
        <v/>
      </c>
      <c r="L88" s="122" t="str">
        <f>IF($C88&lt;&gt;"",'G2 FIL Reading Scoresheet'!$I90/30,"")</f>
        <v/>
      </c>
      <c r="M88" s="122" t="str">
        <f>IF(AND($C88&lt;&gt;"",$K88&lt;&gt;"Full Refresher"),'G2 FIL Reading Scoresheet'!$Q90,"")</f>
        <v/>
      </c>
      <c r="N88" s="122" t="str">
        <f>IF(AND($C88&lt;&gt;"",K88&lt;&gt;"Full Refresher"),'G2 FIL Reading Scoresheet'!$R90/6,"")</f>
        <v/>
      </c>
      <c r="O88" s="121" t="str">
        <f>IF(AND(C88&lt;&gt;"",K88&lt;&gt;"Full Refresher"),'G2 FIL Reading Scoresheet'!$P90,"")</f>
        <v/>
      </c>
      <c r="P88" s="125" t="str">
        <f>'G2 FIL Reading Scoresheet'!$U90</f>
        <v/>
      </c>
      <c r="Q88" s="127" t="str">
        <f>CONCATENATE(IF(ISBLANK('G2 MT Reading Scoresheet'!V90),"",CONCATENATE("MT:",TRIM('G2 MT Reading Scoresheet'!V90)))," ",IF(ISBLANK('G2 FIL Reading Scoresheet'!V90),"",CONCATENATE("FIL:",TRIM('G2 FIL Reading Scoresheet'!V90))))</f>
        <v/>
      </c>
    </row>
    <row r="89" spans="1:17">
      <c r="A89" s="106">
        <f t="shared" si="0"/>
        <v>81</v>
      </c>
      <c r="B89" s="107" t="str">
        <f>IF('G2 MT Reading Scoresheet'!B91&lt;&gt;"",'G2 MT Reading Scoresheet'!B91,"")</f>
        <v/>
      </c>
      <c r="C89" s="108" t="str">
        <f>IF('G2 MT Reading Scoresheet'!C91&lt;&gt;"",'G2 MT Reading Scoresheet'!C91,"")</f>
        <v/>
      </c>
      <c r="D89" s="109" t="str">
        <f>IF('G2 MT Reading Scoresheet'!D91&lt;&gt;"",'G2 MT Reading Scoresheet'!D91,"")</f>
        <v/>
      </c>
      <c r="E89" s="110" t="str">
        <f>'G2 MT Reading Scoresheet'!$J91</f>
        <v/>
      </c>
      <c r="F89" s="111" t="str">
        <f>IF(C89&lt;&gt;"",'G2 MT Reading Scoresheet'!$I91/30,"")</f>
        <v/>
      </c>
      <c r="G89" s="111" t="str">
        <f>IF(AND($C89&lt;&gt;"",$E89&lt;&gt;"Full Refresher"),'G2 MT Reading Scoresheet'!$Q91,"")</f>
        <v/>
      </c>
      <c r="H89" s="111" t="str">
        <f>IF(AND(C89&lt;&gt;"",E89&lt;&gt;"Full Refresher"),'G2 MT Reading Scoresheet'!$R91/6,"")</f>
        <v/>
      </c>
      <c r="I89" s="110" t="str">
        <f>IF(AND(D89&lt;&gt;"",F89&lt;&gt;"Full Refresher"),'G2 MT Reading Scoresheet'!$P91,"")</f>
        <v/>
      </c>
      <c r="J89" s="124" t="str">
        <f>'G2 MT Reading Scoresheet'!$U91</f>
        <v/>
      </c>
      <c r="K89" s="121" t="str">
        <f>'G2 FIL Reading Scoresheet'!$J91</f>
        <v/>
      </c>
      <c r="L89" s="122" t="str">
        <f>IF($C89&lt;&gt;"",'G2 FIL Reading Scoresheet'!$I91/30,"")</f>
        <v/>
      </c>
      <c r="M89" s="122" t="str">
        <f>IF(AND($C89&lt;&gt;"",$K89&lt;&gt;"Full Refresher"),'G2 FIL Reading Scoresheet'!$Q91,"")</f>
        <v/>
      </c>
      <c r="N89" s="122" t="str">
        <f>IF(AND($C89&lt;&gt;"",K89&lt;&gt;"Full Refresher"),'G2 FIL Reading Scoresheet'!$R91/6,"")</f>
        <v/>
      </c>
      <c r="O89" s="121" t="str">
        <f>IF(AND(C89&lt;&gt;"",K89&lt;&gt;"Full Refresher"),'G2 FIL Reading Scoresheet'!$P91,"")</f>
        <v/>
      </c>
      <c r="P89" s="125" t="str">
        <f>'G2 FIL Reading Scoresheet'!$U91</f>
        <v/>
      </c>
      <c r="Q89" s="126" t="str">
        <f>CONCATENATE(IF(ISBLANK('G2 MT Reading Scoresheet'!V91),"",CONCATENATE("MT:",TRIM('G2 MT Reading Scoresheet'!V91)))," ",IF(ISBLANK('G2 FIL Reading Scoresheet'!V91),"",CONCATENATE("FIL:",TRIM('G2 FIL Reading Scoresheet'!V91))))</f>
        <v/>
      </c>
    </row>
    <row r="90" spans="1:17">
      <c r="A90" s="112">
        <f t="shared" si="0"/>
        <v>82</v>
      </c>
      <c r="B90" s="113" t="str">
        <f>IF('G2 MT Reading Scoresheet'!B92&lt;&gt;"",'G2 MT Reading Scoresheet'!B92,"")</f>
        <v/>
      </c>
      <c r="C90" s="114" t="str">
        <f>IF('G2 MT Reading Scoresheet'!C92&lt;&gt;"",'G2 MT Reading Scoresheet'!C92,"")</f>
        <v/>
      </c>
      <c r="D90" s="115" t="str">
        <f>IF('G2 MT Reading Scoresheet'!D92&lt;&gt;"",'G2 MT Reading Scoresheet'!D92,"")</f>
        <v/>
      </c>
      <c r="E90" s="110" t="str">
        <f>'G2 MT Reading Scoresheet'!$J92</f>
        <v/>
      </c>
      <c r="F90" s="111" t="str">
        <f>IF(C90&lt;&gt;"",'G2 MT Reading Scoresheet'!$I92/30,"")</f>
        <v/>
      </c>
      <c r="G90" s="111" t="str">
        <f>IF(AND($C90&lt;&gt;"",$E90&lt;&gt;"Full Refresher"),'G2 MT Reading Scoresheet'!$Q92,"")</f>
        <v/>
      </c>
      <c r="H90" s="111" t="str">
        <f>IF(AND(C90&lt;&gt;"",E90&lt;&gt;"Full Refresher"),'G2 MT Reading Scoresheet'!$R92/6,"")</f>
        <v/>
      </c>
      <c r="I90" s="110" t="str">
        <f>IF(AND(D90&lt;&gt;"",F90&lt;&gt;"Full Refresher"),'G2 MT Reading Scoresheet'!$P92,"")</f>
        <v/>
      </c>
      <c r="J90" s="124" t="str">
        <f>'G2 MT Reading Scoresheet'!$U92</f>
        <v/>
      </c>
      <c r="K90" s="121" t="str">
        <f>'G2 FIL Reading Scoresheet'!$J92</f>
        <v/>
      </c>
      <c r="L90" s="122" t="str">
        <f>IF($C90&lt;&gt;"",'G2 FIL Reading Scoresheet'!$I92/30,"")</f>
        <v/>
      </c>
      <c r="M90" s="122" t="str">
        <f>IF(AND($C90&lt;&gt;"",$K90&lt;&gt;"Full Refresher"),'G2 FIL Reading Scoresheet'!$Q92,"")</f>
        <v/>
      </c>
      <c r="N90" s="122" t="str">
        <f>IF(AND($C90&lt;&gt;"",K90&lt;&gt;"Full Refresher"),'G2 FIL Reading Scoresheet'!$R92/6,"")</f>
        <v/>
      </c>
      <c r="O90" s="121" t="str">
        <f>IF(AND(C90&lt;&gt;"",K90&lt;&gt;"Full Refresher"),'G2 FIL Reading Scoresheet'!$P92,"")</f>
        <v/>
      </c>
      <c r="P90" s="125" t="str">
        <f>'G2 FIL Reading Scoresheet'!$U92</f>
        <v/>
      </c>
      <c r="Q90" s="127" t="str">
        <f>CONCATENATE(IF(ISBLANK('G2 MT Reading Scoresheet'!V92),"",CONCATENATE("MT:",TRIM('G2 MT Reading Scoresheet'!V92)))," ",IF(ISBLANK('G2 FIL Reading Scoresheet'!V92),"",CONCATENATE("FIL:",TRIM('G2 FIL Reading Scoresheet'!V92))))</f>
        <v/>
      </c>
    </row>
    <row r="91" spans="1:17">
      <c r="A91" s="106">
        <f t="shared" si="0"/>
        <v>83</v>
      </c>
      <c r="B91" s="107" t="str">
        <f>IF('G2 MT Reading Scoresheet'!B93&lt;&gt;"",'G2 MT Reading Scoresheet'!B93,"")</f>
        <v/>
      </c>
      <c r="C91" s="108" t="str">
        <f>IF('G2 MT Reading Scoresheet'!C93&lt;&gt;"",'G2 MT Reading Scoresheet'!C93,"")</f>
        <v/>
      </c>
      <c r="D91" s="109" t="str">
        <f>IF('G2 MT Reading Scoresheet'!D93&lt;&gt;"",'G2 MT Reading Scoresheet'!D93,"")</f>
        <v/>
      </c>
      <c r="E91" s="110" t="str">
        <f>'G2 MT Reading Scoresheet'!$J93</f>
        <v/>
      </c>
      <c r="F91" s="111" t="str">
        <f>IF(C91&lt;&gt;"",'G2 MT Reading Scoresheet'!$I93/30,"")</f>
        <v/>
      </c>
      <c r="G91" s="111" t="str">
        <f>IF(AND($C91&lt;&gt;"",$E91&lt;&gt;"Full Refresher"),'G2 MT Reading Scoresheet'!$Q93,"")</f>
        <v/>
      </c>
      <c r="H91" s="111" t="str">
        <f>IF(AND(C91&lt;&gt;"",E91&lt;&gt;"Full Refresher"),'G2 MT Reading Scoresheet'!$R93/6,"")</f>
        <v/>
      </c>
      <c r="I91" s="110" t="str">
        <f>IF(AND(D91&lt;&gt;"",F91&lt;&gt;"Full Refresher"),'G2 MT Reading Scoresheet'!$P93,"")</f>
        <v/>
      </c>
      <c r="J91" s="124" t="str">
        <f>'G2 MT Reading Scoresheet'!$U93</f>
        <v/>
      </c>
      <c r="K91" s="121" t="str">
        <f>'G2 FIL Reading Scoresheet'!$J93</f>
        <v/>
      </c>
      <c r="L91" s="122" t="str">
        <f>IF($C91&lt;&gt;"",'G2 FIL Reading Scoresheet'!$I93/30,"")</f>
        <v/>
      </c>
      <c r="M91" s="122" t="str">
        <f>IF(AND($C91&lt;&gt;"",$K91&lt;&gt;"Full Refresher"),'G2 FIL Reading Scoresheet'!$Q93,"")</f>
        <v/>
      </c>
      <c r="N91" s="122" t="str">
        <f>IF(AND($C91&lt;&gt;"",K91&lt;&gt;"Full Refresher"),'G2 FIL Reading Scoresheet'!$R93/6,"")</f>
        <v/>
      </c>
      <c r="O91" s="121" t="str">
        <f>IF(AND(C91&lt;&gt;"",K91&lt;&gt;"Full Refresher"),'G2 FIL Reading Scoresheet'!$P93,"")</f>
        <v/>
      </c>
      <c r="P91" s="125" t="str">
        <f>'G2 FIL Reading Scoresheet'!$U93</f>
        <v/>
      </c>
      <c r="Q91" s="126" t="str">
        <f>CONCATENATE(IF(ISBLANK('G2 MT Reading Scoresheet'!V93),"",CONCATENATE("MT:",TRIM('G2 MT Reading Scoresheet'!V93)))," ",IF(ISBLANK('G2 FIL Reading Scoresheet'!V93),"",CONCATENATE("FIL:",TRIM('G2 FIL Reading Scoresheet'!V93))))</f>
        <v/>
      </c>
    </row>
    <row r="92" spans="1:17">
      <c r="A92" s="112">
        <f t="shared" si="0"/>
        <v>84</v>
      </c>
      <c r="B92" s="113" t="str">
        <f>IF('G2 MT Reading Scoresheet'!B94&lt;&gt;"",'G2 MT Reading Scoresheet'!B94,"")</f>
        <v/>
      </c>
      <c r="C92" s="114" t="str">
        <f>IF('G2 MT Reading Scoresheet'!C94&lt;&gt;"",'G2 MT Reading Scoresheet'!C94,"")</f>
        <v/>
      </c>
      <c r="D92" s="115" t="str">
        <f>IF('G2 MT Reading Scoresheet'!D94&lt;&gt;"",'G2 MT Reading Scoresheet'!D94,"")</f>
        <v/>
      </c>
      <c r="E92" s="110" t="str">
        <f>'G2 MT Reading Scoresheet'!$J94</f>
        <v/>
      </c>
      <c r="F92" s="111" t="str">
        <f>IF(C92&lt;&gt;"",'G2 MT Reading Scoresheet'!$I94/30,"")</f>
        <v/>
      </c>
      <c r="G92" s="111" t="str">
        <f>IF(AND($C92&lt;&gt;"",$E92&lt;&gt;"Full Refresher"),'G2 MT Reading Scoresheet'!$Q94,"")</f>
        <v/>
      </c>
      <c r="H92" s="111" t="str">
        <f>IF(AND(C92&lt;&gt;"",E92&lt;&gt;"Full Refresher"),'G2 MT Reading Scoresheet'!$R94/6,"")</f>
        <v/>
      </c>
      <c r="I92" s="110" t="str">
        <f>IF(AND(D92&lt;&gt;"",F92&lt;&gt;"Full Refresher"),'G2 MT Reading Scoresheet'!$P94,"")</f>
        <v/>
      </c>
      <c r="J92" s="124" t="str">
        <f>'G2 MT Reading Scoresheet'!$U94</f>
        <v/>
      </c>
      <c r="K92" s="121" t="str">
        <f>'G2 FIL Reading Scoresheet'!$J94</f>
        <v/>
      </c>
      <c r="L92" s="122" t="str">
        <f>IF($C92&lt;&gt;"",'G2 FIL Reading Scoresheet'!$I94/30,"")</f>
        <v/>
      </c>
      <c r="M92" s="122" t="str">
        <f>IF(AND($C92&lt;&gt;"",$K92&lt;&gt;"Full Refresher"),'G2 FIL Reading Scoresheet'!$Q94,"")</f>
        <v/>
      </c>
      <c r="N92" s="122" t="str">
        <f>IF(AND($C92&lt;&gt;"",K92&lt;&gt;"Full Refresher"),'G2 FIL Reading Scoresheet'!$R94/6,"")</f>
        <v/>
      </c>
      <c r="O92" s="121" t="str">
        <f>IF(AND(C92&lt;&gt;"",K92&lt;&gt;"Full Refresher"),'G2 FIL Reading Scoresheet'!$P94,"")</f>
        <v/>
      </c>
      <c r="P92" s="125" t="str">
        <f>'G2 FIL Reading Scoresheet'!$U94</f>
        <v/>
      </c>
      <c r="Q92" s="127" t="str">
        <f>CONCATENATE(IF(ISBLANK('G2 MT Reading Scoresheet'!V94),"",CONCATENATE("MT:",TRIM('G2 MT Reading Scoresheet'!V94)))," ",IF(ISBLANK('G2 FIL Reading Scoresheet'!V94),"",CONCATENATE("FIL:",TRIM('G2 FIL Reading Scoresheet'!V94))))</f>
        <v/>
      </c>
    </row>
    <row r="93" spans="1:17">
      <c r="A93" s="106">
        <f t="shared" si="0"/>
        <v>85</v>
      </c>
      <c r="B93" s="107" t="str">
        <f>IF('G2 MT Reading Scoresheet'!B95&lt;&gt;"",'G2 MT Reading Scoresheet'!B95,"")</f>
        <v/>
      </c>
      <c r="C93" s="108" t="str">
        <f>IF('G2 MT Reading Scoresheet'!C95&lt;&gt;"",'G2 MT Reading Scoresheet'!C95,"")</f>
        <v/>
      </c>
      <c r="D93" s="109" t="str">
        <f>IF('G2 MT Reading Scoresheet'!D95&lt;&gt;"",'G2 MT Reading Scoresheet'!D95,"")</f>
        <v/>
      </c>
      <c r="E93" s="110" t="str">
        <f>'G2 MT Reading Scoresheet'!$J95</f>
        <v/>
      </c>
      <c r="F93" s="111" t="str">
        <f>IF(C93&lt;&gt;"",'G2 MT Reading Scoresheet'!$I95/30,"")</f>
        <v/>
      </c>
      <c r="G93" s="111" t="str">
        <f>IF(AND($C93&lt;&gt;"",$E93&lt;&gt;"Full Refresher"),'G2 MT Reading Scoresheet'!$Q95,"")</f>
        <v/>
      </c>
      <c r="H93" s="111" t="str">
        <f>IF(AND(C93&lt;&gt;"",E93&lt;&gt;"Full Refresher"),'G2 MT Reading Scoresheet'!$R95/6,"")</f>
        <v/>
      </c>
      <c r="I93" s="110" t="str">
        <f>IF(AND(D93&lt;&gt;"",F93&lt;&gt;"Full Refresher"),'G2 MT Reading Scoresheet'!$P95,"")</f>
        <v/>
      </c>
      <c r="J93" s="124" t="str">
        <f>'G2 MT Reading Scoresheet'!$U95</f>
        <v/>
      </c>
      <c r="K93" s="121" t="str">
        <f>'G2 FIL Reading Scoresheet'!$J95</f>
        <v/>
      </c>
      <c r="L93" s="122" t="str">
        <f>IF($C93&lt;&gt;"",'G2 FIL Reading Scoresheet'!$I95/30,"")</f>
        <v/>
      </c>
      <c r="M93" s="122" t="str">
        <f>IF(AND($C93&lt;&gt;"",$K93&lt;&gt;"Full Refresher"),'G2 FIL Reading Scoresheet'!$Q95,"")</f>
        <v/>
      </c>
      <c r="N93" s="122" t="str">
        <f>IF(AND($C93&lt;&gt;"",K93&lt;&gt;"Full Refresher"),'G2 FIL Reading Scoresheet'!$R95/6,"")</f>
        <v/>
      </c>
      <c r="O93" s="121" t="str">
        <f>IF(AND(C93&lt;&gt;"",K93&lt;&gt;"Full Refresher"),'G2 FIL Reading Scoresheet'!$P95,"")</f>
        <v/>
      </c>
      <c r="P93" s="125" t="str">
        <f>'G2 FIL Reading Scoresheet'!$U95</f>
        <v/>
      </c>
      <c r="Q93" s="126" t="str">
        <f>CONCATENATE(IF(ISBLANK('G2 MT Reading Scoresheet'!V95),"",CONCATENATE("MT:",TRIM('G2 MT Reading Scoresheet'!V95)))," ",IF(ISBLANK('G2 FIL Reading Scoresheet'!V95),"",CONCATENATE("FIL:",TRIM('G2 FIL Reading Scoresheet'!V95))))</f>
        <v/>
      </c>
    </row>
    <row r="94" spans="1:17">
      <c r="A94" s="112">
        <f t="shared" si="0"/>
        <v>86</v>
      </c>
      <c r="B94" s="113" t="str">
        <f>IF('G2 MT Reading Scoresheet'!B96&lt;&gt;"",'G2 MT Reading Scoresheet'!B96,"")</f>
        <v/>
      </c>
      <c r="C94" s="114" t="str">
        <f>IF('G2 MT Reading Scoresheet'!C96&lt;&gt;"",'G2 MT Reading Scoresheet'!C96,"")</f>
        <v/>
      </c>
      <c r="D94" s="115" t="str">
        <f>IF('G2 MT Reading Scoresheet'!D96&lt;&gt;"",'G2 MT Reading Scoresheet'!D96,"")</f>
        <v/>
      </c>
      <c r="E94" s="110" t="str">
        <f>'G2 MT Reading Scoresheet'!$J96</f>
        <v/>
      </c>
      <c r="F94" s="111" t="str">
        <f>IF(C94&lt;&gt;"",'G2 MT Reading Scoresheet'!$I96/30,"")</f>
        <v/>
      </c>
      <c r="G94" s="111" t="str">
        <f>IF(AND($C94&lt;&gt;"",$E94&lt;&gt;"Full Refresher"),'G2 MT Reading Scoresheet'!$Q96,"")</f>
        <v/>
      </c>
      <c r="H94" s="111" t="str">
        <f>IF(AND(C94&lt;&gt;"",E94&lt;&gt;"Full Refresher"),'G2 MT Reading Scoresheet'!$R96/6,"")</f>
        <v/>
      </c>
      <c r="I94" s="110" t="str">
        <f>IF(AND(D94&lt;&gt;"",F94&lt;&gt;"Full Refresher"),'G2 MT Reading Scoresheet'!$P96,"")</f>
        <v/>
      </c>
      <c r="J94" s="124" t="str">
        <f>'G2 MT Reading Scoresheet'!$U96</f>
        <v/>
      </c>
      <c r="K94" s="121" t="str">
        <f>'G2 FIL Reading Scoresheet'!$J96</f>
        <v/>
      </c>
      <c r="L94" s="122" t="str">
        <f>IF($C94&lt;&gt;"",'G2 FIL Reading Scoresheet'!$I96/30,"")</f>
        <v/>
      </c>
      <c r="M94" s="122" t="str">
        <f>IF(AND($C94&lt;&gt;"",$K94&lt;&gt;"Full Refresher"),'G2 FIL Reading Scoresheet'!$Q96,"")</f>
        <v/>
      </c>
      <c r="N94" s="122" t="str">
        <f>IF(AND($C94&lt;&gt;"",K94&lt;&gt;"Full Refresher"),'G2 FIL Reading Scoresheet'!$R96/6,"")</f>
        <v/>
      </c>
      <c r="O94" s="121" t="str">
        <f>IF(AND(C94&lt;&gt;"",K94&lt;&gt;"Full Refresher"),'G2 FIL Reading Scoresheet'!$P96,"")</f>
        <v/>
      </c>
      <c r="P94" s="125" t="str">
        <f>'G2 FIL Reading Scoresheet'!$U96</f>
        <v/>
      </c>
      <c r="Q94" s="127" t="str">
        <f>CONCATENATE(IF(ISBLANK('G2 MT Reading Scoresheet'!V96),"",CONCATENATE("MT:",TRIM('G2 MT Reading Scoresheet'!V96)))," ",IF(ISBLANK('G2 FIL Reading Scoresheet'!V96),"",CONCATENATE("FIL:",TRIM('G2 FIL Reading Scoresheet'!V96))))</f>
        <v/>
      </c>
    </row>
    <row r="95" spans="1:17">
      <c r="A95" s="106">
        <f t="shared" si="0"/>
        <v>87</v>
      </c>
      <c r="B95" s="107" t="str">
        <f>IF('G2 MT Reading Scoresheet'!B97&lt;&gt;"",'G2 MT Reading Scoresheet'!B97,"")</f>
        <v/>
      </c>
      <c r="C95" s="108" t="str">
        <f>IF('G2 MT Reading Scoresheet'!C97&lt;&gt;"",'G2 MT Reading Scoresheet'!C97,"")</f>
        <v/>
      </c>
      <c r="D95" s="109" t="str">
        <f>IF('G2 MT Reading Scoresheet'!D97&lt;&gt;"",'G2 MT Reading Scoresheet'!D97,"")</f>
        <v/>
      </c>
      <c r="E95" s="110" t="str">
        <f>'G2 MT Reading Scoresheet'!$J97</f>
        <v/>
      </c>
      <c r="F95" s="111" t="str">
        <f>IF(C95&lt;&gt;"",'G2 MT Reading Scoresheet'!$I97/30,"")</f>
        <v/>
      </c>
      <c r="G95" s="111" t="str">
        <f>IF(AND($C95&lt;&gt;"",$E95&lt;&gt;"Full Refresher"),'G2 MT Reading Scoresheet'!$Q97,"")</f>
        <v/>
      </c>
      <c r="H95" s="111" t="str">
        <f>IF(AND(C95&lt;&gt;"",E95&lt;&gt;"Full Refresher"),'G2 MT Reading Scoresheet'!$R97/6,"")</f>
        <v/>
      </c>
      <c r="I95" s="110" t="str">
        <f>IF(AND(D95&lt;&gt;"",F95&lt;&gt;"Full Refresher"),'G2 MT Reading Scoresheet'!$P97,"")</f>
        <v/>
      </c>
      <c r="J95" s="124" t="str">
        <f>'G2 MT Reading Scoresheet'!$U97</f>
        <v/>
      </c>
      <c r="K95" s="121" t="str">
        <f>'G2 FIL Reading Scoresheet'!$J97</f>
        <v/>
      </c>
      <c r="L95" s="122" t="str">
        <f>IF($C95&lt;&gt;"",'G2 FIL Reading Scoresheet'!$I97/30,"")</f>
        <v/>
      </c>
      <c r="M95" s="122" t="str">
        <f>IF(AND($C95&lt;&gt;"",$K95&lt;&gt;"Full Refresher"),'G2 FIL Reading Scoresheet'!$Q97,"")</f>
        <v/>
      </c>
      <c r="N95" s="122" t="str">
        <f>IF(AND($C95&lt;&gt;"",K95&lt;&gt;"Full Refresher"),'G2 FIL Reading Scoresheet'!$R97/6,"")</f>
        <v/>
      </c>
      <c r="O95" s="121" t="str">
        <f>IF(AND(C95&lt;&gt;"",K95&lt;&gt;"Full Refresher"),'G2 FIL Reading Scoresheet'!$P97,"")</f>
        <v/>
      </c>
      <c r="P95" s="125" t="str">
        <f>'G2 FIL Reading Scoresheet'!$U97</f>
        <v/>
      </c>
      <c r="Q95" s="126" t="str">
        <f>CONCATENATE(IF(ISBLANK('G2 MT Reading Scoresheet'!V97),"",CONCATENATE("MT:",TRIM('G2 MT Reading Scoresheet'!V97)))," ",IF(ISBLANK('G2 FIL Reading Scoresheet'!V97),"",CONCATENATE("FIL:",TRIM('G2 FIL Reading Scoresheet'!V97))))</f>
        <v/>
      </c>
    </row>
    <row r="96" spans="1:17">
      <c r="A96" s="112">
        <f t="shared" si="0"/>
        <v>88</v>
      </c>
      <c r="B96" s="113" t="str">
        <f>IF('G2 MT Reading Scoresheet'!B98&lt;&gt;"",'G2 MT Reading Scoresheet'!B98,"")</f>
        <v/>
      </c>
      <c r="C96" s="114" t="str">
        <f>IF('G2 MT Reading Scoresheet'!C98&lt;&gt;"",'G2 MT Reading Scoresheet'!C98,"")</f>
        <v/>
      </c>
      <c r="D96" s="115" t="str">
        <f>IF('G2 MT Reading Scoresheet'!D98&lt;&gt;"",'G2 MT Reading Scoresheet'!D98,"")</f>
        <v/>
      </c>
      <c r="E96" s="110" t="str">
        <f>'G2 MT Reading Scoresheet'!$J98</f>
        <v/>
      </c>
      <c r="F96" s="111" t="str">
        <f>IF(C96&lt;&gt;"",'G2 MT Reading Scoresheet'!$I98/30,"")</f>
        <v/>
      </c>
      <c r="G96" s="111" t="str">
        <f>IF(AND($C96&lt;&gt;"",$E96&lt;&gt;"Full Refresher"),'G2 MT Reading Scoresheet'!$Q98,"")</f>
        <v/>
      </c>
      <c r="H96" s="111" t="str">
        <f>IF(AND(C96&lt;&gt;"",E96&lt;&gt;"Full Refresher"),'G2 MT Reading Scoresheet'!$R98/6,"")</f>
        <v/>
      </c>
      <c r="I96" s="110" t="str">
        <f>IF(AND(D96&lt;&gt;"",F96&lt;&gt;"Full Refresher"),'G2 MT Reading Scoresheet'!$P98,"")</f>
        <v/>
      </c>
      <c r="J96" s="124" t="str">
        <f>'G2 MT Reading Scoresheet'!$U98</f>
        <v/>
      </c>
      <c r="K96" s="121" t="str">
        <f>'G2 FIL Reading Scoresheet'!$J98</f>
        <v/>
      </c>
      <c r="L96" s="122" t="str">
        <f>IF($C96&lt;&gt;"",'G2 FIL Reading Scoresheet'!$I98/30,"")</f>
        <v/>
      </c>
      <c r="M96" s="122" t="str">
        <f>IF(AND($C96&lt;&gt;"",$K96&lt;&gt;"Full Refresher"),'G2 FIL Reading Scoresheet'!$Q98,"")</f>
        <v/>
      </c>
      <c r="N96" s="122" t="str">
        <f>IF(AND($C96&lt;&gt;"",K96&lt;&gt;"Full Refresher"),'G2 FIL Reading Scoresheet'!$R98/6,"")</f>
        <v/>
      </c>
      <c r="O96" s="121" t="str">
        <f>IF(AND(C96&lt;&gt;"",K96&lt;&gt;"Full Refresher"),'G2 FIL Reading Scoresheet'!$P98,"")</f>
        <v/>
      </c>
      <c r="P96" s="125" t="str">
        <f>'G2 FIL Reading Scoresheet'!$U98</f>
        <v/>
      </c>
      <c r="Q96" s="127" t="str">
        <f>CONCATENATE(IF(ISBLANK('G2 MT Reading Scoresheet'!V98),"",CONCATENATE("MT:",TRIM('G2 MT Reading Scoresheet'!V98)))," ",IF(ISBLANK('G2 FIL Reading Scoresheet'!V98),"",CONCATENATE("FIL:",TRIM('G2 FIL Reading Scoresheet'!V98))))</f>
        <v/>
      </c>
    </row>
    <row r="97" spans="1:17">
      <c r="A97" s="106">
        <f t="shared" si="0"/>
        <v>89</v>
      </c>
      <c r="B97" s="107" t="str">
        <f>IF('G2 MT Reading Scoresheet'!B99&lt;&gt;"",'G2 MT Reading Scoresheet'!B99,"")</f>
        <v/>
      </c>
      <c r="C97" s="108" t="str">
        <f>IF('G2 MT Reading Scoresheet'!C99&lt;&gt;"",'G2 MT Reading Scoresheet'!C99,"")</f>
        <v/>
      </c>
      <c r="D97" s="109" t="str">
        <f>IF('G2 MT Reading Scoresheet'!D99&lt;&gt;"",'G2 MT Reading Scoresheet'!D99,"")</f>
        <v/>
      </c>
      <c r="E97" s="110" t="str">
        <f>'G2 MT Reading Scoresheet'!$J99</f>
        <v/>
      </c>
      <c r="F97" s="111" t="str">
        <f>IF(C97&lt;&gt;"",'G2 MT Reading Scoresheet'!$I99/30,"")</f>
        <v/>
      </c>
      <c r="G97" s="111" t="str">
        <f>IF(AND($C97&lt;&gt;"",$E97&lt;&gt;"Full Refresher"),'G2 MT Reading Scoresheet'!$Q99,"")</f>
        <v/>
      </c>
      <c r="H97" s="111" t="str">
        <f>IF(AND(C97&lt;&gt;"",E97&lt;&gt;"Full Refresher"),'G2 MT Reading Scoresheet'!$R99/6,"")</f>
        <v/>
      </c>
      <c r="I97" s="110" t="str">
        <f>IF(AND(D97&lt;&gt;"",F97&lt;&gt;"Full Refresher"),'G2 MT Reading Scoresheet'!$P99,"")</f>
        <v/>
      </c>
      <c r="J97" s="124" t="str">
        <f>'G2 MT Reading Scoresheet'!$U99</f>
        <v/>
      </c>
      <c r="K97" s="121" t="str">
        <f>'G2 FIL Reading Scoresheet'!$J99</f>
        <v/>
      </c>
      <c r="L97" s="122" t="str">
        <f>IF($C97&lt;&gt;"",'G2 FIL Reading Scoresheet'!$I99/30,"")</f>
        <v/>
      </c>
      <c r="M97" s="122" t="str">
        <f>IF(AND($C97&lt;&gt;"",$K97&lt;&gt;"Full Refresher"),'G2 FIL Reading Scoresheet'!$Q99,"")</f>
        <v/>
      </c>
      <c r="N97" s="122" t="str">
        <f>IF(AND($C97&lt;&gt;"",K97&lt;&gt;"Full Refresher"),'G2 FIL Reading Scoresheet'!$R99/6,"")</f>
        <v/>
      </c>
      <c r="O97" s="121" t="str">
        <f>IF(AND(C97&lt;&gt;"",K97&lt;&gt;"Full Refresher"),'G2 FIL Reading Scoresheet'!$P99,"")</f>
        <v/>
      </c>
      <c r="P97" s="125" t="str">
        <f>'G2 FIL Reading Scoresheet'!$U99</f>
        <v/>
      </c>
      <c r="Q97" s="126" t="str">
        <f>CONCATENATE(IF(ISBLANK('G2 MT Reading Scoresheet'!V99),"",CONCATENATE("MT:",TRIM('G2 MT Reading Scoresheet'!V99)))," ",IF(ISBLANK('G2 FIL Reading Scoresheet'!V99),"",CONCATENATE("FIL:",TRIM('G2 FIL Reading Scoresheet'!V99))))</f>
        <v/>
      </c>
    </row>
    <row r="98" spans="1:17">
      <c r="A98" s="112">
        <f t="shared" si="0"/>
        <v>90</v>
      </c>
      <c r="B98" s="113" t="str">
        <f>IF('G2 MT Reading Scoresheet'!B100&lt;&gt;"",'G2 MT Reading Scoresheet'!B100,"")</f>
        <v/>
      </c>
      <c r="C98" s="114" t="str">
        <f>IF('G2 MT Reading Scoresheet'!C100&lt;&gt;"",'G2 MT Reading Scoresheet'!C100,"")</f>
        <v/>
      </c>
      <c r="D98" s="115" t="str">
        <f>IF('G2 MT Reading Scoresheet'!D100&lt;&gt;"",'G2 MT Reading Scoresheet'!D100,"")</f>
        <v/>
      </c>
      <c r="E98" s="110" t="str">
        <f>'G2 MT Reading Scoresheet'!$J100</f>
        <v/>
      </c>
      <c r="F98" s="111" t="str">
        <f>IF(C98&lt;&gt;"",'G2 MT Reading Scoresheet'!$I100/30,"")</f>
        <v/>
      </c>
      <c r="G98" s="111" t="str">
        <f>IF(AND($C98&lt;&gt;"",$E98&lt;&gt;"Full Refresher"),'G2 MT Reading Scoresheet'!$Q100,"")</f>
        <v/>
      </c>
      <c r="H98" s="111" t="str">
        <f>IF(AND(C98&lt;&gt;"",E98&lt;&gt;"Full Refresher"),'G2 MT Reading Scoresheet'!$R100/6,"")</f>
        <v/>
      </c>
      <c r="I98" s="110" t="str">
        <f>IF(AND(D98&lt;&gt;"",F98&lt;&gt;"Full Refresher"),'G2 MT Reading Scoresheet'!$P100,"")</f>
        <v/>
      </c>
      <c r="J98" s="124" t="str">
        <f>'G2 MT Reading Scoresheet'!$U100</f>
        <v/>
      </c>
      <c r="K98" s="121" t="str">
        <f>'G2 FIL Reading Scoresheet'!$J100</f>
        <v/>
      </c>
      <c r="L98" s="122" t="str">
        <f>IF($C98&lt;&gt;"",'G2 FIL Reading Scoresheet'!$I100/30,"")</f>
        <v/>
      </c>
      <c r="M98" s="122" t="str">
        <f>IF(AND($C98&lt;&gt;"",$K98&lt;&gt;"Full Refresher"),'G2 FIL Reading Scoresheet'!$Q100,"")</f>
        <v/>
      </c>
      <c r="N98" s="122" t="str">
        <f>IF(AND($C98&lt;&gt;"",K98&lt;&gt;"Full Refresher"),'G2 FIL Reading Scoresheet'!$R100/6,"")</f>
        <v/>
      </c>
      <c r="O98" s="121" t="str">
        <f>IF(AND(C98&lt;&gt;"",K98&lt;&gt;"Full Refresher"),'G2 FIL Reading Scoresheet'!$P100,"")</f>
        <v/>
      </c>
      <c r="P98" s="125" t="str">
        <f>'G2 FIL Reading Scoresheet'!$U100</f>
        <v/>
      </c>
      <c r="Q98" s="127" t="str">
        <f>CONCATENATE(IF(ISBLANK('G2 MT Reading Scoresheet'!V100),"",CONCATENATE("MT:",TRIM('G2 MT Reading Scoresheet'!V100)))," ",IF(ISBLANK('G2 FIL Reading Scoresheet'!V100),"",CONCATENATE("FIL:",TRIM('G2 FIL Reading Scoresheet'!V100))))</f>
        <v/>
      </c>
    </row>
    <row r="99" spans="1:17">
      <c r="A99" s="106">
        <f t="shared" si="0"/>
        <v>91</v>
      </c>
      <c r="B99" s="107" t="str">
        <f>IF('G2 MT Reading Scoresheet'!B101&lt;&gt;"",'G2 MT Reading Scoresheet'!B101,"")</f>
        <v/>
      </c>
      <c r="C99" s="108" t="str">
        <f>IF('G2 MT Reading Scoresheet'!C101&lt;&gt;"",'G2 MT Reading Scoresheet'!C101,"")</f>
        <v/>
      </c>
      <c r="D99" s="109" t="str">
        <f>IF('G2 MT Reading Scoresheet'!D101&lt;&gt;"",'G2 MT Reading Scoresheet'!D101,"")</f>
        <v/>
      </c>
      <c r="E99" s="110" t="str">
        <f>'G2 MT Reading Scoresheet'!$J101</f>
        <v/>
      </c>
      <c r="F99" s="111" t="str">
        <f>IF(C99&lt;&gt;"",'G2 MT Reading Scoresheet'!$I101/30,"")</f>
        <v/>
      </c>
      <c r="G99" s="111" t="str">
        <f>IF(AND($C99&lt;&gt;"",$E99&lt;&gt;"Full Refresher"),'G2 MT Reading Scoresheet'!$Q101,"")</f>
        <v/>
      </c>
      <c r="H99" s="111" t="str">
        <f>IF(AND(C99&lt;&gt;"",E99&lt;&gt;"Full Refresher"),'G2 MT Reading Scoresheet'!$R101/6,"")</f>
        <v/>
      </c>
      <c r="I99" s="110" t="str">
        <f>IF(AND(D99&lt;&gt;"",F99&lt;&gt;"Full Refresher"),'G2 MT Reading Scoresheet'!$P101,"")</f>
        <v/>
      </c>
      <c r="J99" s="124" t="str">
        <f>'G2 MT Reading Scoresheet'!$U101</f>
        <v/>
      </c>
      <c r="K99" s="121" t="str">
        <f>'G2 FIL Reading Scoresheet'!$J101</f>
        <v/>
      </c>
      <c r="L99" s="122" t="str">
        <f>IF($C99&lt;&gt;"",'G2 FIL Reading Scoresheet'!$I101/30,"")</f>
        <v/>
      </c>
      <c r="M99" s="122" t="str">
        <f>IF(AND($C99&lt;&gt;"",$K99&lt;&gt;"Full Refresher"),'G2 FIL Reading Scoresheet'!$Q101,"")</f>
        <v/>
      </c>
      <c r="N99" s="122" t="str">
        <f>IF(AND($C99&lt;&gt;"",K99&lt;&gt;"Full Refresher"),'G2 FIL Reading Scoresheet'!$R101/6,"")</f>
        <v/>
      </c>
      <c r="O99" s="121" t="str">
        <f>IF(AND(C99&lt;&gt;"",K99&lt;&gt;"Full Refresher"),'G2 FIL Reading Scoresheet'!$P101,"")</f>
        <v/>
      </c>
      <c r="P99" s="125" t="str">
        <f>'G2 FIL Reading Scoresheet'!$U101</f>
        <v/>
      </c>
      <c r="Q99" s="126" t="str">
        <f>CONCATENATE(IF(ISBLANK('G2 MT Reading Scoresheet'!V101),"",CONCATENATE("MT:",TRIM('G2 MT Reading Scoresheet'!V101)))," ",IF(ISBLANK('G2 FIL Reading Scoresheet'!V101),"",CONCATENATE("FIL:",TRIM('G2 FIL Reading Scoresheet'!V101))))</f>
        <v/>
      </c>
    </row>
    <row r="100" spans="1:17">
      <c r="A100" s="112">
        <f t="shared" si="0"/>
        <v>92</v>
      </c>
      <c r="B100" s="113" t="str">
        <f>IF('G2 MT Reading Scoresheet'!B102&lt;&gt;"",'G2 MT Reading Scoresheet'!B102,"")</f>
        <v/>
      </c>
      <c r="C100" s="114" t="str">
        <f>IF('G2 MT Reading Scoresheet'!C102&lt;&gt;"",'G2 MT Reading Scoresheet'!C102,"")</f>
        <v/>
      </c>
      <c r="D100" s="115" t="str">
        <f>IF('G2 MT Reading Scoresheet'!D102&lt;&gt;"",'G2 MT Reading Scoresheet'!D102,"")</f>
        <v/>
      </c>
      <c r="E100" s="110" t="str">
        <f>'G2 MT Reading Scoresheet'!$J102</f>
        <v/>
      </c>
      <c r="F100" s="111" t="str">
        <f>IF(C100&lt;&gt;"",'G2 MT Reading Scoresheet'!$I102/30,"")</f>
        <v/>
      </c>
      <c r="G100" s="111" t="str">
        <f>IF(AND($C100&lt;&gt;"",$E100&lt;&gt;"Full Refresher"),'G2 MT Reading Scoresheet'!$Q102,"")</f>
        <v/>
      </c>
      <c r="H100" s="111" t="str">
        <f>IF(AND(C100&lt;&gt;"",E100&lt;&gt;"Full Refresher"),'G2 MT Reading Scoresheet'!$R102/6,"")</f>
        <v/>
      </c>
      <c r="I100" s="110" t="str">
        <f>IF(AND(D100&lt;&gt;"",F100&lt;&gt;"Full Refresher"),'G2 MT Reading Scoresheet'!$P102,"")</f>
        <v/>
      </c>
      <c r="J100" s="124" t="str">
        <f>'G2 MT Reading Scoresheet'!$U102</f>
        <v/>
      </c>
      <c r="K100" s="121" t="str">
        <f>'G2 FIL Reading Scoresheet'!$J102</f>
        <v/>
      </c>
      <c r="L100" s="122" t="str">
        <f>IF($C100&lt;&gt;"",'G2 FIL Reading Scoresheet'!$I102/30,"")</f>
        <v/>
      </c>
      <c r="M100" s="122" t="str">
        <f>IF(AND($C100&lt;&gt;"",$K100&lt;&gt;"Full Refresher"),'G2 FIL Reading Scoresheet'!$Q102,"")</f>
        <v/>
      </c>
      <c r="N100" s="122" t="str">
        <f>IF(AND($C100&lt;&gt;"",K100&lt;&gt;"Full Refresher"),'G2 FIL Reading Scoresheet'!$R102/6,"")</f>
        <v/>
      </c>
      <c r="O100" s="121" t="str">
        <f>IF(AND(C100&lt;&gt;"",K100&lt;&gt;"Full Refresher"),'G2 FIL Reading Scoresheet'!$P102,"")</f>
        <v/>
      </c>
      <c r="P100" s="125" t="str">
        <f>'G2 FIL Reading Scoresheet'!$U102</f>
        <v/>
      </c>
      <c r="Q100" s="127" t="str">
        <f>CONCATENATE(IF(ISBLANK('G2 MT Reading Scoresheet'!V102),"",CONCATENATE("MT:",TRIM('G2 MT Reading Scoresheet'!V102)))," ",IF(ISBLANK('G2 FIL Reading Scoresheet'!V102),"",CONCATENATE("FIL:",TRIM('G2 FIL Reading Scoresheet'!V102))))</f>
        <v/>
      </c>
    </row>
    <row r="101" spans="1:17">
      <c r="A101" s="106">
        <f t="shared" si="0"/>
        <v>93</v>
      </c>
      <c r="B101" s="107" t="str">
        <f>IF('G2 MT Reading Scoresheet'!B103&lt;&gt;"",'G2 MT Reading Scoresheet'!B103,"")</f>
        <v/>
      </c>
      <c r="C101" s="108" t="str">
        <f>IF('G2 MT Reading Scoresheet'!C103&lt;&gt;"",'G2 MT Reading Scoresheet'!C103,"")</f>
        <v/>
      </c>
      <c r="D101" s="109" t="str">
        <f>IF('G2 MT Reading Scoresheet'!D103&lt;&gt;"",'G2 MT Reading Scoresheet'!D103,"")</f>
        <v/>
      </c>
      <c r="E101" s="110" t="str">
        <f>'G2 MT Reading Scoresheet'!$J103</f>
        <v/>
      </c>
      <c r="F101" s="111" t="str">
        <f>IF(C101&lt;&gt;"",'G2 MT Reading Scoresheet'!$I103/30,"")</f>
        <v/>
      </c>
      <c r="G101" s="111" t="str">
        <f>IF(AND($C101&lt;&gt;"",$E101&lt;&gt;"Full Refresher"),'G2 MT Reading Scoresheet'!$Q103,"")</f>
        <v/>
      </c>
      <c r="H101" s="111" t="str">
        <f>IF(AND(C101&lt;&gt;"",E101&lt;&gt;"Full Refresher"),'G2 MT Reading Scoresheet'!$R103/6,"")</f>
        <v/>
      </c>
      <c r="I101" s="110" t="str">
        <f>IF(AND(D101&lt;&gt;"",F101&lt;&gt;"Full Refresher"),'G2 MT Reading Scoresheet'!$P103,"")</f>
        <v/>
      </c>
      <c r="J101" s="124" t="str">
        <f>'G2 MT Reading Scoresheet'!$U103</f>
        <v/>
      </c>
      <c r="K101" s="121" t="str">
        <f>'G2 FIL Reading Scoresheet'!$J103</f>
        <v/>
      </c>
      <c r="L101" s="122" t="str">
        <f>IF($C101&lt;&gt;"",'G2 FIL Reading Scoresheet'!$I103/30,"")</f>
        <v/>
      </c>
      <c r="M101" s="122" t="str">
        <f>IF(AND($C101&lt;&gt;"",$K101&lt;&gt;"Full Refresher"),'G2 FIL Reading Scoresheet'!$Q103,"")</f>
        <v/>
      </c>
      <c r="N101" s="122" t="str">
        <f>IF(AND($C101&lt;&gt;"",K101&lt;&gt;"Full Refresher"),'G2 FIL Reading Scoresheet'!$R103/6,"")</f>
        <v/>
      </c>
      <c r="O101" s="121" t="str">
        <f>IF(AND(C101&lt;&gt;"",K101&lt;&gt;"Full Refresher"),'G2 FIL Reading Scoresheet'!$P103,"")</f>
        <v/>
      </c>
      <c r="P101" s="125" t="str">
        <f>'G2 FIL Reading Scoresheet'!$U103</f>
        <v/>
      </c>
      <c r="Q101" s="126" t="str">
        <f>CONCATENATE(IF(ISBLANK('G2 MT Reading Scoresheet'!V103),"",CONCATENATE("MT:",TRIM('G2 MT Reading Scoresheet'!V103)))," ",IF(ISBLANK('G2 FIL Reading Scoresheet'!V103),"",CONCATENATE("FIL:",TRIM('G2 FIL Reading Scoresheet'!V103))))</f>
        <v/>
      </c>
    </row>
    <row r="102" spans="1:17">
      <c r="A102" s="112">
        <f t="shared" si="0"/>
        <v>94</v>
      </c>
      <c r="B102" s="113" t="str">
        <f>IF('G2 MT Reading Scoresheet'!B104&lt;&gt;"",'G2 MT Reading Scoresheet'!B104,"")</f>
        <v/>
      </c>
      <c r="C102" s="114" t="str">
        <f>IF('G2 MT Reading Scoresheet'!C104&lt;&gt;"",'G2 MT Reading Scoresheet'!C104,"")</f>
        <v/>
      </c>
      <c r="D102" s="115" t="str">
        <f>IF('G2 MT Reading Scoresheet'!D104&lt;&gt;"",'G2 MT Reading Scoresheet'!D104,"")</f>
        <v/>
      </c>
      <c r="E102" s="110" t="str">
        <f>'G2 MT Reading Scoresheet'!$J104</f>
        <v/>
      </c>
      <c r="F102" s="111" t="str">
        <f>IF(C102&lt;&gt;"",'G2 MT Reading Scoresheet'!$I104/30,"")</f>
        <v/>
      </c>
      <c r="G102" s="111" t="str">
        <f>IF(AND($C102&lt;&gt;"",$E102&lt;&gt;"Full Refresher"),'G2 MT Reading Scoresheet'!$Q104,"")</f>
        <v/>
      </c>
      <c r="H102" s="111" t="str">
        <f>IF(AND(C102&lt;&gt;"",E102&lt;&gt;"Full Refresher"),'G2 MT Reading Scoresheet'!$R104/6,"")</f>
        <v/>
      </c>
      <c r="I102" s="110" t="str">
        <f>IF(AND(D102&lt;&gt;"",F102&lt;&gt;"Full Refresher"),'G2 MT Reading Scoresheet'!$P104,"")</f>
        <v/>
      </c>
      <c r="J102" s="124" t="str">
        <f>'G2 MT Reading Scoresheet'!$U104</f>
        <v/>
      </c>
      <c r="K102" s="121" t="str">
        <f>'G2 FIL Reading Scoresheet'!$J104</f>
        <v/>
      </c>
      <c r="L102" s="122" t="str">
        <f>IF($C102&lt;&gt;"",'G2 FIL Reading Scoresheet'!$I104/30,"")</f>
        <v/>
      </c>
      <c r="M102" s="122" t="str">
        <f>IF(AND($C102&lt;&gt;"",$K102&lt;&gt;"Full Refresher"),'G2 FIL Reading Scoresheet'!$Q104,"")</f>
        <v/>
      </c>
      <c r="N102" s="122" t="str">
        <f>IF(AND($C102&lt;&gt;"",K102&lt;&gt;"Full Refresher"),'G2 FIL Reading Scoresheet'!$R104/6,"")</f>
        <v/>
      </c>
      <c r="O102" s="121" t="str">
        <f>IF(AND(C102&lt;&gt;"",K102&lt;&gt;"Full Refresher"),'G2 FIL Reading Scoresheet'!$P104,"")</f>
        <v/>
      </c>
      <c r="P102" s="125" t="str">
        <f>'G2 FIL Reading Scoresheet'!$U104</f>
        <v/>
      </c>
      <c r="Q102" s="127" t="str">
        <f>CONCATENATE(IF(ISBLANK('G2 MT Reading Scoresheet'!V104),"",CONCATENATE("MT:",TRIM('G2 MT Reading Scoresheet'!V104)))," ",IF(ISBLANK('G2 FIL Reading Scoresheet'!V104),"",CONCATENATE("FIL:",TRIM('G2 FIL Reading Scoresheet'!V104))))</f>
        <v/>
      </c>
    </row>
    <row r="103" spans="1:17">
      <c r="A103" s="106">
        <f t="shared" si="0"/>
        <v>95</v>
      </c>
      <c r="B103" s="107" t="str">
        <f>IF('G2 MT Reading Scoresheet'!B105&lt;&gt;"",'G2 MT Reading Scoresheet'!B105,"")</f>
        <v/>
      </c>
      <c r="C103" s="108" t="str">
        <f>IF('G2 MT Reading Scoresheet'!C105&lt;&gt;"",'G2 MT Reading Scoresheet'!C105,"")</f>
        <v/>
      </c>
      <c r="D103" s="109" t="str">
        <f>IF('G2 MT Reading Scoresheet'!D105&lt;&gt;"",'G2 MT Reading Scoresheet'!D105,"")</f>
        <v/>
      </c>
      <c r="E103" s="110" t="str">
        <f>'G2 MT Reading Scoresheet'!$J105</f>
        <v/>
      </c>
      <c r="F103" s="111" t="str">
        <f>IF(C103&lt;&gt;"",'G2 MT Reading Scoresheet'!$I105/30,"")</f>
        <v/>
      </c>
      <c r="G103" s="111" t="str">
        <f>IF(AND($C103&lt;&gt;"",$E103&lt;&gt;"Full Refresher"),'G2 MT Reading Scoresheet'!$Q105,"")</f>
        <v/>
      </c>
      <c r="H103" s="111" t="str">
        <f>IF(AND(C103&lt;&gt;"",E103&lt;&gt;"Full Refresher"),'G2 MT Reading Scoresheet'!$R105/6,"")</f>
        <v/>
      </c>
      <c r="I103" s="110" t="str">
        <f>IF(AND(D103&lt;&gt;"",F103&lt;&gt;"Full Refresher"),'G2 MT Reading Scoresheet'!$P105,"")</f>
        <v/>
      </c>
      <c r="J103" s="124" t="str">
        <f>'G2 MT Reading Scoresheet'!$U105</f>
        <v/>
      </c>
      <c r="K103" s="121" t="str">
        <f>'G2 FIL Reading Scoresheet'!$J105</f>
        <v/>
      </c>
      <c r="L103" s="122" t="str">
        <f>IF($C103&lt;&gt;"",'G2 FIL Reading Scoresheet'!$I105/30,"")</f>
        <v/>
      </c>
      <c r="M103" s="122" t="str">
        <f>IF(AND($C103&lt;&gt;"",$K103&lt;&gt;"Full Refresher"),'G2 FIL Reading Scoresheet'!$Q105,"")</f>
        <v/>
      </c>
      <c r="N103" s="122" t="str">
        <f>IF(AND($C103&lt;&gt;"",K103&lt;&gt;"Full Refresher"),'G2 FIL Reading Scoresheet'!$R105/6,"")</f>
        <v/>
      </c>
      <c r="O103" s="121" t="str">
        <f>IF(AND(C103&lt;&gt;"",K103&lt;&gt;"Full Refresher"),'G2 FIL Reading Scoresheet'!$P105,"")</f>
        <v/>
      </c>
      <c r="P103" s="125" t="str">
        <f>'G2 FIL Reading Scoresheet'!$U105</f>
        <v/>
      </c>
      <c r="Q103" s="126" t="str">
        <f>CONCATENATE(IF(ISBLANK('G2 MT Reading Scoresheet'!V105),"",CONCATENATE("MT:",TRIM('G2 MT Reading Scoresheet'!V105)))," ",IF(ISBLANK('G2 FIL Reading Scoresheet'!V105),"",CONCATENATE("FIL:",TRIM('G2 FIL Reading Scoresheet'!V105))))</f>
        <v/>
      </c>
    </row>
    <row r="104" spans="1:17">
      <c r="A104" s="112">
        <f t="shared" si="0"/>
        <v>96</v>
      </c>
      <c r="B104" s="113" t="str">
        <f>IF('G2 MT Reading Scoresheet'!B106&lt;&gt;"",'G2 MT Reading Scoresheet'!B106,"")</f>
        <v/>
      </c>
      <c r="C104" s="114" t="str">
        <f>IF('G2 MT Reading Scoresheet'!C106&lt;&gt;"",'G2 MT Reading Scoresheet'!C106,"")</f>
        <v/>
      </c>
      <c r="D104" s="115" t="str">
        <f>IF('G2 MT Reading Scoresheet'!D106&lt;&gt;"",'G2 MT Reading Scoresheet'!D106,"")</f>
        <v/>
      </c>
      <c r="E104" s="110" t="str">
        <f>'G2 MT Reading Scoresheet'!$J106</f>
        <v/>
      </c>
      <c r="F104" s="111" t="str">
        <f>IF(C104&lt;&gt;"",'G2 MT Reading Scoresheet'!$I106/30,"")</f>
        <v/>
      </c>
      <c r="G104" s="111" t="str">
        <f>IF(AND($C104&lt;&gt;"",$E104&lt;&gt;"Full Refresher"),'G2 MT Reading Scoresheet'!$Q106,"")</f>
        <v/>
      </c>
      <c r="H104" s="111" t="str">
        <f>IF(AND(C104&lt;&gt;"",E104&lt;&gt;"Full Refresher"),'G2 MT Reading Scoresheet'!$R106/6,"")</f>
        <v/>
      </c>
      <c r="I104" s="110" t="str">
        <f>IF(AND(D104&lt;&gt;"",F104&lt;&gt;"Full Refresher"),'G2 MT Reading Scoresheet'!$P106,"")</f>
        <v/>
      </c>
      <c r="J104" s="124" t="str">
        <f>'G2 MT Reading Scoresheet'!$U106</f>
        <v/>
      </c>
      <c r="K104" s="121" t="str">
        <f>'G2 FIL Reading Scoresheet'!$J106</f>
        <v/>
      </c>
      <c r="L104" s="122" t="str">
        <f>IF($C104&lt;&gt;"",'G2 FIL Reading Scoresheet'!$I106/30,"")</f>
        <v/>
      </c>
      <c r="M104" s="122" t="str">
        <f>IF(AND($C104&lt;&gt;"",$K104&lt;&gt;"Full Refresher"),'G2 FIL Reading Scoresheet'!$Q106,"")</f>
        <v/>
      </c>
      <c r="N104" s="122" t="str">
        <f>IF(AND($C104&lt;&gt;"",K104&lt;&gt;"Full Refresher"),'G2 FIL Reading Scoresheet'!$R106/6,"")</f>
        <v/>
      </c>
      <c r="O104" s="121" t="str">
        <f>IF(AND(C104&lt;&gt;"",K104&lt;&gt;"Full Refresher"),'G2 FIL Reading Scoresheet'!$P106,"")</f>
        <v/>
      </c>
      <c r="P104" s="125" t="str">
        <f>'G2 FIL Reading Scoresheet'!$U106</f>
        <v/>
      </c>
      <c r="Q104" s="127" t="str">
        <f>CONCATENATE(IF(ISBLANK('G2 MT Reading Scoresheet'!V106),"",CONCATENATE("MT:",TRIM('G2 MT Reading Scoresheet'!V106)))," ",IF(ISBLANK('G2 FIL Reading Scoresheet'!V106),"",CONCATENATE("FIL:",TRIM('G2 FIL Reading Scoresheet'!V106))))</f>
        <v/>
      </c>
    </row>
    <row r="105" spans="1:17">
      <c r="A105" s="106">
        <f t="shared" si="0"/>
        <v>97</v>
      </c>
      <c r="B105" s="107" t="str">
        <f>IF('G2 MT Reading Scoresheet'!B107&lt;&gt;"",'G2 MT Reading Scoresheet'!B107,"")</f>
        <v/>
      </c>
      <c r="C105" s="108" t="str">
        <f>IF('G2 MT Reading Scoresheet'!C107&lt;&gt;"",'G2 MT Reading Scoresheet'!C107,"")</f>
        <v/>
      </c>
      <c r="D105" s="109" t="str">
        <f>IF('G2 MT Reading Scoresheet'!D107&lt;&gt;"",'G2 MT Reading Scoresheet'!D107,"")</f>
        <v/>
      </c>
      <c r="E105" s="110" t="str">
        <f>'G2 MT Reading Scoresheet'!$J107</f>
        <v/>
      </c>
      <c r="F105" s="111" t="str">
        <f>IF(C105&lt;&gt;"",'G2 MT Reading Scoresheet'!$I107/30,"")</f>
        <v/>
      </c>
      <c r="G105" s="111" t="str">
        <f>IF(AND($C105&lt;&gt;"",$E105&lt;&gt;"Full Refresher"),'G2 MT Reading Scoresheet'!$Q107,"")</f>
        <v/>
      </c>
      <c r="H105" s="111" t="str">
        <f>IF(AND(C105&lt;&gt;"",E105&lt;&gt;"Full Refresher"),'G2 MT Reading Scoresheet'!$R107/6,"")</f>
        <v/>
      </c>
      <c r="I105" s="110" t="str">
        <f>IF(AND(D105&lt;&gt;"",F105&lt;&gt;"Full Refresher"),'G2 MT Reading Scoresheet'!$P107,"")</f>
        <v/>
      </c>
      <c r="J105" s="124" t="str">
        <f>'G2 MT Reading Scoresheet'!$U107</f>
        <v/>
      </c>
      <c r="K105" s="121" t="str">
        <f>'G2 FIL Reading Scoresheet'!$J107</f>
        <v/>
      </c>
      <c r="L105" s="122" t="str">
        <f>IF($C105&lt;&gt;"",'G2 FIL Reading Scoresheet'!$I107/30,"")</f>
        <v/>
      </c>
      <c r="M105" s="122" t="str">
        <f>IF(AND($C105&lt;&gt;"",$K105&lt;&gt;"Full Refresher"),'G2 FIL Reading Scoresheet'!$Q107,"")</f>
        <v/>
      </c>
      <c r="N105" s="122" t="str">
        <f>IF(AND($C105&lt;&gt;"",K105&lt;&gt;"Full Refresher"),'G2 FIL Reading Scoresheet'!$R107/6,"")</f>
        <v/>
      </c>
      <c r="O105" s="121" t="str">
        <f>IF(AND(C105&lt;&gt;"",K105&lt;&gt;"Full Refresher"),'G2 FIL Reading Scoresheet'!$P107,"")</f>
        <v/>
      </c>
      <c r="P105" s="125" t="str">
        <f>'G2 FIL Reading Scoresheet'!$U107</f>
        <v/>
      </c>
      <c r="Q105" s="126" t="str">
        <f>CONCATENATE(IF(ISBLANK('G2 MT Reading Scoresheet'!V107),"",CONCATENATE("MT:",TRIM('G2 MT Reading Scoresheet'!V107)))," ",IF(ISBLANK('G2 FIL Reading Scoresheet'!V107),"",CONCATENATE("FIL:",TRIM('G2 FIL Reading Scoresheet'!V107))))</f>
        <v/>
      </c>
    </row>
    <row r="106" spans="1:17">
      <c r="A106" s="112">
        <f t="shared" si="0"/>
        <v>98</v>
      </c>
      <c r="B106" s="113" t="str">
        <f>IF('G2 MT Reading Scoresheet'!B108&lt;&gt;"",'G2 MT Reading Scoresheet'!B108,"")</f>
        <v/>
      </c>
      <c r="C106" s="114" t="str">
        <f>IF('G2 MT Reading Scoresheet'!C108&lt;&gt;"",'G2 MT Reading Scoresheet'!C108,"")</f>
        <v/>
      </c>
      <c r="D106" s="115" t="str">
        <f>IF('G2 MT Reading Scoresheet'!D108&lt;&gt;"",'G2 MT Reading Scoresheet'!D108,"")</f>
        <v/>
      </c>
      <c r="E106" s="110" t="str">
        <f>'G2 MT Reading Scoresheet'!$J108</f>
        <v/>
      </c>
      <c r="F106" s="111" t="str">
        <f>IF(C106&lt;&gt;"",'G2 MT Reading Scoresheet'!$I108/30,"")</f>
        <v/>
      </c>
      <c r="G106" s="111" t="str">
        <f>IF(AND($C106&lt;&gt;"",$E106&lt;&gt;"Full Refresher"),'G2 MT Reading Scoresheet'!$Q108,"")</f>
        <v/>
      </c>
      <c r="H106" s="111" t="str">
        <f>IF(AND(C106&lt;&gt;"",E106&lt;&gt;"Full Refresher"),'G2 MT Reading Scoresheet'!$R108/6,"")</f>
        <v/>
      </c>
      <c r="I106" s="110" t="str">
        <f>IF(AND(D106&lt;&gt;"",F106&lt;&gt;"Full Refresher"),'G2 MT Reading Scoresheet'!$P108,"")</f>
        <v/>
      </c>
      <c r="J106" s="124" t="str">
        <f>'G2 MT Reading Scoresheet'!$U108</f>
        <v/>
      </c>
      <c r="K106" s="121" t="str">
        <f>'G2 FIL Reading Scoresheet'!$J108</f>
        <v/>
      </c>
      <c r="L106" s="122" t="str">
        <f>IF($C106&lt;&gt;"",'G2 FIL Reading Scoresheet'!$I108/30,"")</f>
        <v/>
      </c>
      <c r="M106" s="122" t="str">
        <f>IF(AND($C106&lt;&gt;"",$K106&lt;&gt;"Full Refresher"),'G2 FIL Reading Scoresheet'!$Q108,"")</f>
        <v/>
      </c>
      <c r="N106" s="122" t="str">
        <f>IF(AND($C106&lt;&gt;"",K106&lt;&gt;"Full Refresher"),'G2 FIL Reading Scoresheet'!$R108/6,"")</f>
        <v/>
      </c>
      <c r="O106" s="121" t="str">
        <f>IF(AND(C106&lt;&gt;"",K106&lt;&gt;"Full Refresher"),'G2 FIL Reading Scoresheet'!$P108,"")</f>
        <v/>
      </c>
      <c r="P106" s="125" t="str">
        <f>'G2 FIL Reading Scoresheet'!$U108</f>
        <v/>
      </c>
      <c r="Q106" s="127" t="str">
        <f>CONCATENATE(IF(ISBLANK('G2 MT Reading Scoresheet'!V108),"",CONCATENATE("MT:",TRIM('G2 MT Reading Scoresheet'!V108)))," ",IF(ISBLANK('G2 FIL Reading Scoresheet'!V108),"",CONCATENATE("FIL:",TRIM('G2 FIL Reading Scoresheet'!V108))))</f>
        <v/>
      </c>
    </row>
    <row r="107" spans="1:17">
      <c r="A107" s="106">
        <f t="shared" si="0"/>
        <v>99</v>
      </c>
      <c r="B107" s="107" t="str">
        <f>IF('G2 MT Reading Scoresheet'!B109&lt;&gt;"",'G2 MT Reading Scoresheet'!B109,"")</f>
        <v/>
      </c>
      <c r="C107" s="108" t="str">
        <f>IF('G2 MT Reading Scoresheet'!C109&lt;&gt;"",'G2 MT Reading Scoresheet'!C109,"")</f>
        <v/>
      </c>
      <c r="D107" s="109" t="str">
        <f>IF('G2 MT Reading Scoresheet'!D109&lt;&gt;"",'G2 MT Reading Scoresheet'!D109,"")</f>
        <v/>
      </c>
      <c r="E107" s="110" t="str">
        <f>'G2 MT Reading Scoresheet'!$J109</f>
        <v/>
      </c>
      <c r="F107" s="111" t="str">
        <f>IF(C107&lt;&gt;"",'G2 MT Reading Scoresheet'!$I109/30,"")</f>
        <v/>
      </c>
      <c r="G107" s="111" t="str">
        <f>IF(AND($C107&lt;&gt;"",$E107&lt;&gt;"Full Refresher"),'G2 MT Reading Scoresheet'!$Q109,"")</f>
        <v/>
      </c>
      <c r="H107" s="111" t="str">
        <f>IF(AND(C107&lt;&gt;"",E107&lt;&gt;"Full Refresher"),'G2 MT Reading Scoresheet'!$R109/6,"")</f>
        <v/>
      </c>
      <c r="I107" s="110" t="str">
        <f>IF(AND(D107&lt;&gt;"",F107&lt;&gt;"Full Refresher"),'G2 MT Reading Scoresheet'!$P109,"")</f>
        <v/>
      </c>
      <c r="J107" s="124" t="str">
        <f>'G2 MT Reading Scoresheet'!$U109</f>
        <v/>
      </c>
      <c r="K107" s="121" t="str">
        <f>'G2 FIL Reading Scoresheet'!$J109</f>
        <v/>
      </c>
      <c r="L107" s="122" t="str">
        <f>IF($C107&lt;&gt;"",'G2 FIL Reading Scoresheet'!$I109/30,"")</f>
        <v/>
      </c>
      <c r="M107" s="122" t="str">
        <f>IF(AND($C107&lt;&gt;"",$K107&lt;&gt;"Full Refresher"),'G2 FIL Reading Scoresheet'!$Q109,"")</f>
        <v/>
      </c>
      <c r="N107" s="122" t="str">
        <f>IF(AND($C107&lt;&gt;"",K107&lt;&gt;"Full Refresher"),'G2 FIL Reading Scoresheet'!$R109/6,"")</f>
        <v/>
      </c>
      <c r="O107" s="121" t="str">
        <f>IF(AND(C107&lt;&gt;"",K107&lt;&gt;"Full Refresher"),'G2 FIL Reading Scoresheet'!$P109,"")</f>
        <v/>
      </c>
      <c r="P107" s="125" t="str">
        <f>'G2 FIL Reading Scoresheet'!$U109</f>
        <v/>
      </c>
      <c r="Q107" s="126" t="str">
        <f>CONCATENATE(IF(ISBLANK('G2 MT Reading Scoresheet'!V109),"",CONCATENATE("MT:",TRIM('G2 MT Reading Scoresheet'!V109)))," ",IF(ISBLANK('G2 FIL Reading Scoresheet'!V109),"",CONCATENATE("FIL:",TRIM('G2 FIL Reading Scoresheet'!V109))))</f>
        <v/>
      </c>
    </row>
    <row r="108" spans="1:17">
      <c r="A108" s="128">
        <v>100</v>
      </c>
      <c r="B108" s="129" t="str">
        <f>IF('G2 MT Reading Scoresheet'!B110&lt;&gt;"",'G2 MT Reading Scoresheet'!B110,"")</f>
        <v/>
      </c>
      <c r="C108" s="130" t="str">
        <f>IF('G2 MT Reading Scoresheet'!C110&lt;&gt;"",'G2 MT Reading Scoresheet'!C110,"")</f>
        <v/>
      </c>
      <c r="D108" s="131" t="str">
        <f>IF('G2 MT Reading Scoresheet'!D110&lt;&gt;"",'G2 MT Reading Scoresheet'!D110,"")</f>
        <v/>
      </c>
      <c r="E108" s="132" t="str">
        <f>'G2 MT Reading Scoresheet'!$J110</f>
        <v/>
      </c>
      <c r="F108" s="133" t="str">
        <f>IF(C108&lt;&gt;"",'G2 MT Reading Scoresheet'!$I$11/30,"")</f>
        <v/>
      </c>
      <c r="G108" s="133" t="str">
        <f>IF(AND($C108&lt;&gt;"",$E108&lt;&gt;"Full Refresher"),'G2 MT Reading Scoresheet'!$Q110,"")</f>
        <v/>
      </c>
      <c r="H108" s="133" t="str">
        <f>IF(AND(C108&lt;&gt;"",E108&lt;&gt;"Full Refresher"),'G2 MT Reading Scoresheet'!$R110/6,"")</f>
        <v/>
      </c>
      <c r="I108" s="132" t="str">
        <f>IF(AND(D108&lt;&gt;"",F108&lt;&gt;"Full Refresher"),'G2 MT Reading Scoresheet'!$P110,"")</f>
        <v/>
      </c>
      <c r="J108" s="134" t="str">
        <f>'G2 MT Reading Scoresheet'!$U110</f>
        <v/>
      </c>
      <c r="K108" s="135" t="str">
        <f>'G2 FIL Reading Scoresheet'!$J110</f>
        <v/>
      </c>
      <c r="L108" s="136" t="str">
        <f>IF($C108&lt;&gt;"",'G2 FIL Reading Scoresheet'!$I110/30,"")</f>
        <v/>
      </c>
      <c r="M108" s="136" t="str">
        <f>IF(AND($C108&lt;&gt;"",$K108&lt;&gt;"Full Refresher"),'G2 FIL Reading Scoresheet'!$Q110,"")</f>
        <v/>
      </c>
      <c r="N108" s="136" t="str">
        <f>IF(AND($C108&lt;&gt;"",K108&lt;&gt;"Full Refresher"),'G2 FIL Reading Scoresheet'!$R110/6,"")</f>
        <v/>
      </c>
      <c r="O108" s="135" t="str">
        <f>IF(AND(C108&lt;&gt;"",K108&lt;&gt;"Full Refresher"),'G2 FIL Reading Scoresheet'!$P110,"")</f>
        <v/>
      </c>
      <c r="P108" s="137" t="str">
        <f>'G2 FIL Reading Scoresheet'!$U110</f>
        <v/>
      </c>
      <c r="Q108" s="138" t="str">
        <f>CONCATENATE(IF(ISBLANK('G2 MT Reading Scoresheet'!V110),"",CONCATENATE("MT:",TRIM('G2 MT Reading Scoresheet'!V110)))," ",IF(ISBLANK('G2 FIL Reading Scoresheet'!V110),"",CONCATENATE("FIL:",TRIM('G2 FIL Reading Scoresheet'!V110))))</f>
        <v/>
      </c>
    </row>
  </sheetData>
  <sheetProtection algorithmName="SHA-512" hashValue="IA8llgn/DepViaRdxhFpjdz4oG6F9r/U3wYsqh76IbDj3uYw2mkRahvV/zy2SU1uWjEHmrLKQSLI6IShGhLilw==" saltValue="Pk0LIMIRjtACBG/3v8pWxA==" spinCount="100000" sheet="1" objects="1" scenarios="1" selectLockedCells="1" autoFilter="0"/>
  <autoFilter ref="A8:R108" xr:uid="{00000000-0009-0000-0000-000002000000}"/>
  <mergeCells count="15">
    <mergeCell ref="M7:O7"/>
    <mergeCell ref="J7:J8"/>
    <mergeCell ref="Q6:Q8"/>
    <mergeCell ref="A7:B7"/>
    <mergeCell ref="C7:D7"/>
    <mergeCell ref="E7:F7"/>
    <mergeCell ref="G7:I7"/>
    <mergeCell ref="K7:L7"/>
    <mergeCell ref="A5:B5"/>
    <mergeCell ref="C5:D5"/>
    <mergeCell ref="E5:Q5"/>
    <mergeCell ref="A6:B6"/>
    <mergeCell ref="C6:D6"/>
    <mergeCell ref="E6:J6"/>
    <mergeCell ref="K6:P6"/>
  </mergeCells>
  <conditionalFormatting sqref="C5">
    <cfRule type="containsText" dxfId="7" priority="7" operator="containsText" text="[enter school school id here]">
      <formula>NOT(ISERROR(SEARCH("[enter school school id here]",C5)))</formula>
    </cfRule>
  </conditionalFormatting>
  <conditionalFormatting sqref="C6">
    <cfRule type="containsText" dxfId="6" priority="8" operator="containsText" text="[enter teacher name here]">
      <formula>NOT(ISERROR(SEARCH("[enter teacher name here]",C6)))</formula>
    </cfRule>
  </conditionalFormatting>
  <conditionalFormatting sqref="E9:E109">
    <cfRule type="containsText" dxfId="5" priority="6" operator="containsText" text="Full">
      <formula>NOT(ISERROR(SEARCH("Full",E9)))</formula>
    </cfRule>
  </conditionalFormatting>
  <conditionalFormatting sqref="J9:J107">
    <cfRule type="containsText" dxfId="4" priority="5" operator="containsText" text="Low">
      <formula>NOT(ISERROR(SEARCH("Low",J9)))</formula>
    </cfRule>
  </conditionalFormatting>
  <conditionalFormatting sqref="J9:J108">
    <cfRule type="containsText" dxfId="3" priority="4" operator="containsText" text="High">
      <formula>NOT(ISERROR(SEARCH("High",J9)))</formula>
    </cfRule>
  </conditionalFormatting>
  <conditionalFormatting sqref="K9:K108">
    <cfRule type="containsText" dxfId="2" priority="3" operator="containsText" text="Full">
      <formula>NOT(ISERROR(SEARCH("Full",K9)))</formula>
    </cfRule>
  </conditionalFormatting>
  <conditionalFormatting sqref="P9:P108">
    <cfRule type="containsText" dxfId="1" priority="1" operator="containsText" text="High">
      <formula>NOT(ISERROR(SEARCH("High",P9)))</formula>
    </cfRule>
    <cfRule type="containsText" dxfId="0" priority="2" operator="containsText" text="Low">
      <formula>NOT(ISERROR(SEARCH("Low",P9)))</formula>
    </cfRule>
  </conditionalFormatting>
  <pageMargins left="0.25" right="0.25" top="1.06" bottom="4.26" header="0.3" footer="0.3"/>
  <pageSetup paperSize="256" scale="57"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U25"/>
  <sheetViews>
    <sheetView zoomScale="45" workbookViewId="0">
      <selection activeCell="P19" sqref="P19"/>
    </sheetView>
  </sheetViews>
  <sheetFormatPr defaultColWidth="0" defaultRowHeight="14.45"/>
  <cols>
    <col min="1" max="1" width="12.375" customWidth="1"/>
    <col min="2" max="2" width="15.125" customWidth="1"/>
    <col min="3" max="3" width="17.125" customWidth="1"/>
    <col min="4" max="4" width="13.625" customWidth="1"/>
    <col min="5" max="5" width="10" customWidth="1"/>
    <col min="6" max="6" width="9.875" customWidth="1"/>
    <col min="7" max="7" width="10.5" customWidth="1"/>
    <col min="8" max="8" width="10.375" customWidth="1"/>
    <col min="9" max="9" width="12.875" customWidth="1"/>
    <col min="10" max="10" width="11.125" customWidth="1"/>
    <col min="11" max="12" width="9.875" customWidth="1"/>
    <col min="13" max="13" width="11.875" customWidth="1"/>
    <col min="14" max="14" width="10.5" customWidth="1"/>
    <col min="15" max="17" width="9.875" customWidth="1"/>
    <col min="18" max="18" width="11.125" customWidth="1"/>
    <col min="19" max="19" width="10.875" customWidth="1"/>
    <col min="20" max="20" width="8.875" customWidth="1"/>
    <col min="21" max="21" width="0" hidden="1" customWidth="1"/>
    <col min="22" max="16384" width="8.875" hidden="1"/>
  </cols>
  <sheetData>
    <row r="1" spans="1:19">
      <c r="A1" t="s">
        <v>75</v>
      </c>
    </row>
    <row r="2" spans="1:19" ht="15.6">
      <c r="A2" s="339" t="s">
        <v>87</v>
      </c>
      <c r="B2" s="339"/>
      <c r="C2" s="339"/>
      <c r="D2" s="339"/>
      <c r="E2" s="339"/>
      <c r="F2" s="339"/>
    </row>
    <row r="4" spans="1:19">
      <c r="A4" s="340" t="s">
        <v>88</v>
      </c>
      <c r="B4" s="340"/>
      <c r="C4" s="2">
        <f>'G2 MT Reading Scoresheet'!C4</f>
        <v>117443</v>
      </c>
    </row>
    <row r="5" spans="1:19">
      <c r="A5" s="341" t="s">
        <v>89</v>
      </c>
      <c r="B5" s="341"/>
      <c r="C5" s="342" t="str">
        <f>'G2 MT Reading Scoresheet'!C5</f>
        <v>ROMANA ELEMETARY SCHOOL</v>
      </c>
      <c r="D5" s="342"/>
      <c r="E5" s="342"/>
    </row>
    <row r="6" spans="1:19" ht="14.45" customHeight="1">
      <c r="A6" s="354" t="s">
        <v>90</v>
      </c>
      <c r="B6" s="18"/>
      <c r="C6" s="18"/>
      <c r="D6" s="356" t="s">
        <v>91</v>
      </c>
      <c r="E6" s="356" t="s">
        <v>36</v>
      </c>
      <c r="F6" s="358" t="s">
        <v>92</v>
      </c>
      <c r="G6" s="360" t="s">
        <v>93</v>
      </c>
      <c r="H6" s="343" t="s">
        <v>82</v>
      </c>
      <c r="I6" s="343"/>
      <c r="J6" s="343"/>
      <c r="K6" s="343"/>
      <c r="L6" s="343" t="s">
        <v>94</v>
      </c>
      <c r="M6" s="343"/>
      <c r="N6" s="343"/>
      <c r="O6" s="69"/>
      <c r="P6" s="69"/>
      <c r="Q6" s="344" t="s">
        <v>52</v>
      </c>
      <c r="R6" s="344"/>
      <c r="S6" s="344"/>
    </row>
    <row r="7" spans="1:19" ht="36">
      <c r="A7" s="355"/>
      <c r="B7" s="19" t="s">
        <v>95</v>
      </c>
      <c r="C7" s="19" t="s">
        <v>96</v>
      </c>
      <c r="D7" s="357"/>
      <c r="E7" s="357"/>
      <c r="F7" s="359"/>
      <c r="G7" s="361"/>
      <c r="H7" s="20" t="s">
        <v>97</v>
      </c>
      <c r="I7" s="20" t="s">
        <v>98</v>
      </c>
      <c r="J7" s="20" t="s">
        <v>99</v>
      </c>
      <c r="K7" s="20" t="s">
        <v>100</v>
      </c>
      <c r="L7" s="20" t="s">
        <v>84</v>
      </c>
      <c r="M7" s="20" t="s">
        <v>85</v>
      </c>
      <c r="N7" s="20" t="s">
        <v>101</v>
      </c>
      <c r="O7" s="70" t="s">
        <v>102</v>
      </c>
      <c r="P7" s="70" t="s">
        <v>103</v>
      </c>
      <c r="Q7" s="70" t="s">
        <v>104</v>
      </c>
      <c r="R7" s="70" t="s">
        <v>105</v>
      </c>
      <c r="S7" s="70" t="s">
        <v>106</v>
      </c>
    </row>
    <row r="8" spans="1:19" ht="24.95" customHeight="1">
      <c r="A8" s="21" t="s">
        <v>16</v>
      </c>
      <c r="B8" s="22">
        <f>IF('G2 MT Reading Scoresheet'!$C$8&lt;&gt;"",'G2 MT Reading Scoresheet'!$C$8,"")</f>
        <v>1</v>
      </c>
      <c r="C8" s="22" t="str">
        <f>IF('G2 MT Reading Scoresheet'!$C$6&lt;&gt;"",'G2 MT Reading Scoresheet'!$C$6," ")</f>
        <v>MARICAR F. JOAQUIN</v>
      </c>
      <c r="D8" s="22" t="str">
        <f>IF('G2 MT Reading Scoresheet'!C9&lt;&gt;"",'G2 MT Reading Scoresheet'!C9,"")</f>
        <v>Hiligaynon</v>
      </c>
      <c r="E8" s="23" t="s">
        <v>8</v>
      </c>
      <c r="F8" s="24">
        <f>'G2 MT Reading Scoresheet'!D6</f>
        <v>5</v>
      </c>
      <c r="G8" s="25">
        <f>COUNTIF('G2 MT Reading Scoresheet'!$D$11:$D$110,$E8)</f>
        <v>5</v>
      </c>
      <c r="H8" s="25">
        <f>COUNTIFS('Class Record'!$E$9:$E$108,H$7,'Class Record'!$D$9:$D$108,$E8)</f>
        <v>1</v>
      </c>
      <c r="I8" s="25">
        <f>COUNTIFS('Class Record'!$E$9:$E$108,I$7,'Class Record'!$D$9:$D$108,$E8)</f>
        <v>0</v>
      </c>
      <c r="J8" s="25">
        <f>COUNTIFS('Class Record'!$E$9:$E$108,J$7,'Class Record'!$D$9:$D$108,$E8)</f>
        <v>0</v>
      </c>
      <c r="K8" s="25">
        <f>COUNTIFS('Class Record'!$E$9:$E$108,K$7,'Class Record'!$D$9:$D$108,$E8)</f>
        <v>4</v>
      </c>
      <c r="L8" s="71">
        <f>IFERROR(AVERAGEIFS('Class Record'!G$9:G$108,'Class Record'!$D$9:$D$108,$E8),"")</f>
        <v>0.87477836879432624</v>
      </c>
      <c r="M8" s="71">
        <f>IFERROR(AVERAGEIFS('Class Record'!H$9:H$108,'Class Record'!$D$9:$D$108,$E8),"")</f>
        <v>0.70833333333333337</v>
      </c>
      <c r="N8" s="72">
        <f>IFERROR(AVERAGEIFS('Class Record'!I$9:I$108,'Class Record'!$D$9:$D$108,$E8),"")</f>
        <v>41.75</v>
      </c>
      <c r="O8" s="73">
        <f>COUNTIFS('Class Record'!$J$9:$J$108,O$7,'Class Record'!$D$9:$D$108,$E8)</f>
        <v>1</v>
      </c>
      <c r="P8" s="73">
        <f>COUNTIFS('Class Record'!$J$9:$J$108,P$7,'Class Record'!$D$9:$D$108,$E8)</f>
        <v>0</v>
      </c>
      <c r="Q8" s="73">
        <f>COUNTIFS('Class Record'!$J$9:$J$108,Q$7,'Class Record'!$D$9:$D$108,$E8)</f>
        <v>0</v>
      </c>
      <c r="R8" s="73">
        <f>COUNTIFS('Class Record'!$J$9:$J$108,R$7,'Class Record'!$D$9:$D$108,$E8)</f>
        <v>3</v>
      </c>
      <c r="S8" s="73">
        <f>COUNTIFS('Class Record'!$J$9:$J$108,S$7,'Class Record'!$D$9:$D$108,$E8)</f>
        <v>1</v>
      </c>
    </row>
    <row r="9" spans="1:19" ht="24.95" customHeight="1">
      <c r="A9" s="21" t="str">
        <f>A8</f>
        <v>Grade 2</v>
      </c>
      <c r="B9" s="22">
        <f t="shared" ref="B9:D9" si="0">B8</f>
        <v>1</v>
      </c>
      <c r="C9" s="22" t="str">
        <f t="shared" si="0"/>
        <v>MARICAR F. JOAQUIN</v>
      </c>
      <c r="D9" s="22" t="str">
        <f t="shared" si="0"/>
        <v>Hiligaynon</v>
      </c>
      <c r="E9" s="23" t="s">
        <v>9</v>
      </c>
      <c r="F9" s="24">
        <f>'G2 MT Reading Scoresheet'!E6</f>
        <v>8</v>
      </c>
      <c r="G9" s="26">
        <f>COUNTIF('G2 MT Reading Scoresheet'!$D$11:$D$110,E9)</f>
        <v>8</v>
      </c>
      <c r="H9" s="25">
        <f>COUNTIFS('Class Record'!$E$9:$E$108,H$7,'Class Record'!$D$9:$D$108,$E9)</f>
        <v>1</v>
      </c>
      <c r="I9" s="25">
        <f>COUNTIFS('Class Record'!$E$9:$E$108,I$7,'Class Record'!$D$9:$D$108,$E9)</f>
        <v>0</v>
      </c>
      <c r="J9" s="25">
        <f>COUNTIFS('Class Record'!$E$9:$E$108,J$7,'Class Record'!$D$9:$D$108,$E9)</f>
        <v>0</v>
      </c>
      <c r="K9" s="25">
        <f>COUNTIFS('Class Record'!$E$9:$E$108,K$7,'Class Record'!$D$9:$D$108,$E9)</f>
        <v>7</v>
      </c>
      <c r="L9" s="71">
        <f>IFERROR(AVERAGEIFS('Class Record'!G$9:G$108,'Class Record'!$D$9:$D$108,$E9),"")</f>
        <v>0.87572821681864244</v>
      </c>
      <c r="M9" s="71">
        <f>IFERROR(AVERAGEIFS('Class Record'!H$9:H$108,'Class Record'!$D$9:$D$108,$E9),"")</f>
        <v>0.78571428571428581</v>
      </c>
      <c r="N9" s="72">
        <f>IFERROR(AVERAGEIFS('Class Record'!I$9:I$108,'Class Record'!$D$9:$D$108,$E9),"")</f>
        <v>41.785714285714285</v>
      </c>
      <c r="O9" s="73">
        <f>COUNTIFS('Class Record'!$J$9:$J$108,O$7,'Class Record'!$D$9:$D$108,$E9)</f>
        <v>1</v>
      </c>
      <c r="P9" s="73">
        <f>COUNTIFS('Class Record'!$J$9:$J$108,P$7,'Class Record'!$D$9:$D$108,$E9)</f>
        <v>0</v>
      </c>
      <c r="Q9" s="73">
        <f>COUNTIFS('Class Record'!$J$9:$J$108,Q$7,'Class Record'!$D$9:$D$108,$E9)</f>
        <v>0</v>
      </c>
      <c r="R9" s="73">
        <f>COUNTIFS('Class Record'!$J$9:$J$108,R$7,'Class Record'!$D$9:$D$108,$E9)</f>
        <v>2</v>
      </c>
      <c r="S9" s="73">
        <f>COUNTIFS('Class Record'!$J$9:$J$108,S$7,'Class Record'!$D$9:$D$108,$E9)</f>
        <v>5</v>
      </c>
    </row>
    <row r="10" spans="1:19" ht="24.95" customHeight="1">
      <c r="A10" s="21" t="str">
        <f>A9</f>
        <v>Grade 2</v>
      </c>
      <c r="B10" s="22">
        <f>B9</f>
        <v>1</v>
      </c>
      <c r="C10" s="22" t="str">
        <f>C9</f>
        <v>MARICAR F. JOAQUIN</v>
      </c>
      <c r="D10" s="22" t="s">
        <v>72</v>
      </c>
      <c r="E10" s="23" t="s">
        <v>8</v>
      </c>
      <c r="F10" s="24">
        <f>'G2 FIL Reading Scoresheet'!$D$6</f>
        <v>5</v>
      </c>
      <c r="G10" s="25">
        <f>COUNTIF('G2 FIL Reading Scoresheet'!$D$11:$D$110,$E10)</f>
        <v>5</v>
      </c>
      <c r="H10" s="25">
        <f>COUNTIFS('Class Record'!$K$9:$K$108,H$7,'Class Record'!$D$9:$D$108,$E10)</f>
        <v>1</v>
      </c>
      <c r="I10" s="25">
        <f>COUNTIFS('Class Record'!$K$9:$K$108,I$7,'Class Record'!$D$9:$D$108,$E10)</f>
        <v>0</v>
      </c>
      <c r="J10" s="25">
        <f>COUNTIFS('Class Record'!$K$9:$K$108,J$7,'Class Record'!$D$9:$D$108,$E10)</f>
        <v>0</v>
      </c>
      <c r="K10" s="25">
        <f>COUNTIFS('Class Record'!$K$9:$K$108,K$7,'Class Record'!$D$9:$D$108,$E10)</f>
        <v>4</v>
      </c>
      <c r="L10" s="71">
        <f>IFERROR(AVERAGEIFS('Class Record'!M$9:M$108,'Class Record'!$D$9:$D$108,$E10),"")</f>
        <v>0.82121710526315783</v>
      </c>
      <c r="M10" s="71">
        <f>IFERROR(AVERAGEIFS('Class Record'!N$9:N$108,'Class Record'!$D$9:$D$108,$E10),"")</f>
        <v>0.625</v>
      </c>
      <c r="N10" s="72">
        <f>IFERROR(AVERAGEIFS('Class Record'!O$9:O$108,'Class Record'!$D$9:$D$108,$E10),"")</f>
        <v>39.125</v>
      </c>
      <c r="O10" s="73">
        <f>COUNTIFS('Class Record'!$P$9:$P$108,O$7,'Class Record'!$D$9:$D$108,$E10)</f>
        <v>1</v>
      </c>
      <c r="P10" s="73">
        <f>COUNTIFS('Class Record'!$P$9:$P$108,P$7,'Class Record'!$D$9:$D$108,$E10)</f>
        <v>0</v>
      </c>
      <c r="Q10" s="73">
        <f>COUNTIFS('Class Record'!$P$9:$P$108,Q$7,'Class Record'!$D$9:$D$108,$E10)</f>
        <v>0</v>
      </c>
      <c r="R10" s="73">
        <f>COUNTIFS('Class Record'!$P$9:$P$108,R$7,'Class Record'!$D$9:$D$108,$E10)</f>
        <v>3</v>
      </c>
      <c r="S10" s="73">
        <f>COUNTIFS('Class Record'!$P$9:$P$108,S$7,'Class Record'!$D$9:$D$108,$E10)</f>
        <v>1</v>
      </c>
    </row>
    <row r="11" spans="1:19" ht="24.95" customHeight="1">
      <c r="A11" s="27" t="str">
        <f>A10</f>
        <v>Grade 2</v>
      </c>
      <c r="B11" s="28">
        <f t="shared" ref="B11:D11" si="1">B10</f>
        <v>1</v>
      </c>
      <c r="C11" s="28" t="str">
        <f t="shared" si="1"/>
        <v>MARICAR F. JOAQUIN</v>
      </c>
      <c r="D11" s="28" t="str">
        <f t="shared" si="1"/>
        <v>Filipino</v>
      </c>
      <c r="E11" s="29" t="s">
        <v>9</v>
      </c>
      <c r="F11" s="30">
        <f>'G2 FIL Reading Scoresheet'!$E$6</f>
        <v>8</v>
      </c>
      <c r="G11" s="31">
        <f>COUNTIF('G2 FIL Reading Scoresheet'!$D$11:$D$110,$E11)</f>
        <v>8</v>
      </c>
      <c r="H11" s="32">
        <f>COUNTIFS('Class Record'!$K$9:$K$108,H$7,'Class Record'!$D$9:$D$108,$E11)</f>
        <v>1</v>
      </c>
      <c r="I11" s="32">
        <f>COUNTIFS('Class Record'!$K$9:$K$108,I$7,'Class Record'!$D$9:$D$108,$E11)</f>
        <v>0</v>
      </c>
      <c r="J11" s="32">
        <f>COUNTIFS('Class Record'!$K$9:$K$108,J$7,'Class Record'!$D$9:$D$108,$E11)</f>
        <v>0</v>
      </c>
      <c r="K11" s="32">
        <f>COUNTIFS('Class Record'!$K$9:$K$108,K$7,'Class Record'!$D$9:$D$108,$E11)</f>
        <v>7</v>
      </c>
      <c r="L11" s="74">
        <f>IFERROR(AVERAGEIFS('Class Record'!M$9:M$108,'Class Record'!$D$9:$D$108,$E11),"")</f>
        <v>0.86541353383458652</v>
      </c>
      <c r="M11" s="74">
        <f>IFERROR(AVERAGEIFS('Class Record'!N$9:N$108,'Class Record'!$D$9:$D$108,$E11),"")</f>
        <v>0.59523809523809523</v>
      </c>
      <c r="N11" s="75">
        <f>IFERROR(AVERAGEIFS('Class Record'!O$9:O$108,'Class Record'!$D$9:$D$108,$E11),"")</f>
        <v>41.285714285714285</v>
      </c>
      <c r="O11" s="76">
        <f>COUNTIFS('Class Record'!$P$9:$P$108,O$7,'Class Record'!$D$9:$D$108,$E11)</f>
        <v>1</v>
      </c>
      <c r="P11" s="76">
        <f>COUNTIFS('Class Record'!$P$9:$P$108,P$7,'Class Record'!$D$9:$D$108,$E11)</f>
        <v>0</v>
      </c>
      <c r="Q11" s="76">
        <f>COUNTIFS('Class Record'!$P$9:$P$108,Q$7,'Class Record'!$D$9:$D$108,$E11)</f>
        <v>2</v>
      </c>
      <c r="R11" s="76">
        <f>COUNTIFS('Class Record'!$P$9:$P$108,R$7,'Class Record'!$D$9:$D$108,$E11)</f>
        <v>3</v>
      </c>
      <c r="S11" s="76">
        <f>COUNTIFS('Class Record'!$P$9:$P$108,S$7,'Class Record'!$D$9:$D$108,$E11)</f>
        <v>2</v>
      </c>
    </row>
    <row r="12" spans="1:19" ht="21" customHeight="1">
      <c r="A12" s="33"/>
      <c r="B12" s="33"/>
      <c r="C12" s="33"/>
      <c r="D12" s="33"/>
      <c r="E12" s="34"/>
      <c r="F12" s="35"/>
      <c r="G12" s="36"/>
      <c r="H12" s="37"/>
      <c r="I12" s="37"/>
      <c r="J12" s="37"/>
      <c r="K12" s="37"/>
      <c r="L12" s="77"/>
      <c r="M12" s="37"/>
      <c r="N12" s="37"/>
      <c r="O12" s="37"/>
      <c r="P12" s="37"/>
      <c r="Q12" s="37"/>
      <c r="R12" s="37"/>
      <c r="S12" s="37"/>
    </row>
    <row r="13" spans="1:19" ht="24.95" customHeight="1">
      <c r="A13" s="38" t="str">
        <f>A9</f>
        <v>Grade 2</v>
      </c>
      <c r="B13" s="39">
        <f t="shared" ref="B13:B14" si="2">B9</f>
        <v>1</v>
      </c>
      <c r="C13" s="39" t="str">
        <f t="shared" ref="C13:C14" si="3">C9</f>
        <v>MARICAR F. JOAQUIN</v>
      </c>
      <c r="D13" s="39" t="str">
        <f t="shared" ref="D13:D14" si="4">D9</f>
        <v>Hiligaynon</v>
      </c>
      <c r="E13" s="40" t="s">
        <v>107</v>
      </c>
      <c r="F13" s="41">
        <f>F8+F9</f>
        <v>13</v>
      </c>
      <c r="G13" s="42">
        <f>G8+G9</f>
        <v>13</v>
      </c>
      <c r="H13" s="43">
        <f t="shared" ref="H13:K13" si="5">H8+H9</f>
        <v>2</v>
      </c>
      <c r="I13" s="43">
        <f t="shared" si="5"/>
        <v>0</v>
      </c>
      <c r="J13" s="43">
        <f t="shared" si="5"/>
        <v>0</v>
      </c>
      <c r="K13" s="43">
        <f t="shared" si="5"/>
        <v>11</v>
      </c>
      <c r="L13" s="78">
        <f>IFERROR((L8+L9)/2,"")</f>
        <v>0.87525329280648434</v>
      </c>
      <c r="M13" s="78">
        <f>IFERROR((M8+M9)/2,"")</f>
        <v>0.74702380952380953</v>
      </c>
      <c r="N13" s="79">
        <f>IFERROR((N8+N9)/2,"")</f>
        <v>41.767857142857139</v>
      </c>
      <c r="O13" s="80">
        <f t="shared" ref="O13:P13" si="6">O8+O9</f>
        <v>2</v>
      </c>
      <c r="P13" s="80">
        <f t="shared" si="6"/>
        <v>0</v>
      </c>
      <c r="Q13" s="80">
        <f t="shared" ref="Q13:S13" si="7">Q8+Q9</f>
        <v>0</v>
      </c>
      <c r="R13" s="80">
        <f t="shared" si="7"/>
        <v>5</v>
      </c>
      <c r="S13" s="80">
        <f t="shared" si="7"/>
        <v>6</v>
      </c>
    </row>
    <row r="14" spans="1:19" ht="43.7" customHeight="1">
      <c r="A14" s="44" t="str">
        <f>A10</f>
        <v>Grade 2</v>
      </c>
      <c r="B14" s="45">
        <f t="shared" si="2"/>
        <v>1</v>
      </c>
      <c r="C14" s="45" t="str">
        <f t="shared" si="3"/>
        <v>MARICAR F. JOAQUIN</v>
      </c>
      <c r="D14" s="45" t="str">
        <f t="shared" si="4"/>
        <v>Filipino</v>
      </c>
      <c r="E14" s="46" t="s">
        <v>107</v>
      </c>
      <c r="F14" s="47">
        <f>F10+F11</f>
        <v>13</v>
      </c>
      <c r="G14" s="48">
        <f t="shared" ref="G14:K14" si="8">G10+G11</f>
        <v>13</v>
      </c>
      <c r="H14" s="49">
        <f t="shared" si="8"/>
        <v>2</v>
      </c>
      <c r="I14" s="49">
        <f t="shared" si="8"/>
        <v>0</v>
      </c>
      <c r="J14" s="49">
        <f t="shared" si="8"/>
        <v>0</v>
      </c>
      <c r="K14" s="49">
        <f t="shared" si="8"/>
        <v>11</v>
      </c>
      <c r="L14" s="74">
        <f>IFERROR((L10+L11)/2,"")</f>
        <v>0.84331531954887218</v>
      </c>
      <c r="M14" s="74">
        <f t="shared" ref="M14:N14" si="9">IFERROR((M10+M11)/2,"")</f>
        <v>0.61011904761904767</v>
      </c>
      <c r="N14" s="75">
        <f t="shared" si="9"/>
        <v>40.205357142857139</v>
      </c>
      <c r="O14" s="81">
        <f t="shared" ref="O14:S14" si="10">O10+O11</f>
        <v>2</v>
      </c>
      <c r="P14" s="81">
        <f t="shared" si="10"/>
        <v>0</v>
      </c>
      <c r="Q14" s="81">
        <f t="shared" si="10"/>
        <v>2</v>
      </c>
      <c r="R14" s="81">
        <f t="shared" si="10"/>
        <v>6</v>
      </c>
      <c r="S14" s="81">
        <f t="shared" si="10"/>
        <v>3</v>
      </c>
    </row>
    <row r="16" spans="1:19">
      <c r="A16" s="345"/>
      <c r="B16" s="346"/>
      <c r="C16" s="50"/>
      <c r="D16" s="347" t="s">
        <v>108</v>
      </c>
      <c r="E16" s="347"/>
      <c r="F16" s="347"/>
      <c r="G16" s="347"/>
      <c r="H16" s="347"/>
      <c r="I16" s="347"/>
      <c r="J16" s="347"/>
      <c r="K16" s="347"/>
      <c r="L16" s="347"/>
      <c r="M16" s="347"/>
      <c r="N16" s="347"/>
      <c r="O16" s="348"/>
      <c r="P16" s="82"/>
    </row>
    <row r="17" spans="1:16" ht="14.45" customHeight="1">
      <c r="A17" s="51"/>
      <c r="B17" s="52"/>
      <c r="C17" s="53"/>
      <c r="D17" s="349" t="s">
        <v>82</v>
      </c>
      <c r="E17" s="349"/>
      <c r="F17" s="349"/>
      <c r="G17" s="349"/>
      <c r="H17" s="350" t="s">
        <v>109</v>
      </c>
      <c r="I17" s="351"/>
      <c r="J17" s="352"/>
      <c r="K17" s="349" t="s">
        <v>52</v>
      </c>
      <c r="L17" s="349"/>
      <c r="M17" s="349"/>
      <c r="N17" s="349"/>
      <c r="O17" s="353"/>
      <c r="P17" s="82"/>
    </row>
    <row r="18" spans="1:16" ht="36">
      <c r="A18" s="54" t="s">
        <v>91</v>
      </c>
      <c r="B18" s="55" t="s">
        <v>36</v>
      </c>
      <c r="C18" s="56" t="s">
        <v>110</v>
      </c>
      <c r="D18" s="20" t="s">
        <v>97</v>
      </c>
      <c r="E18" s="20" t="s">
        <v>98</v>
      </c>
      <c r="F18" s="20" t="s">
        <v>99</v>
      </c>
      <c r="G18" s="20" t="s">
        <v>100</v>
      </c>
      <c r="H18" s="20" t="s">
        <v>84</v>
      </c>
      <c r="I18" s="20" t="s">
        <v>85</v>
      </c>
      <c r="J18" s="20" t="s">
        <v>111</v>
      </c>
      <c r="K18" s="70" t="s">
        <v>102</v>
      </c>
      <c r="L18" s="70" t="s">
        <v>103</v>
      </c>
      <c r="M18" s="70" t="s">
        <v>104</v>
      </c>
      <c r="N18" s="70" t="s">
        <v>105</v>
      </c>
      <c r="O18" s="83" t="s">
        <v>106</v>
      </c>
      <c r="P18" s="84"/>
    </row>
    <row r="19" spans="1:16">
      <c r="A19" s="57" t="str">
        <f>D8</f>
        <v>Hiligaynon</v>
      </c>
      <c r="B19" s="58" t="s">
        <v>8</v>
      </c>
      <c r="C19" s="59">
        <f>IFERROR(G8/F8,"")</f>
        <v>1</v>
      </c>
      <c r="D19" s="59">
        <f t="shared" ref="D19:G20" si="11">IFERROR(H8/$G8,"")</f>
        <v>0.2</v>
      </c>
      <c r="E19" s="59">
        <f t="shared" si="11"/>
        <v>0</v>
      </c>
      <c r="F19" s="59">
        <f t="shared" si="11"/>
        <v>0</v>
      </c>
      <c r="G19" s="59">
        <f t="shared" si="11"/>
        <v>0.8</v>
      </c>
      <c r="H19" s="59">
        <f>L8</f>
        <v>0.87477836879432624</v>
      </c>
      <c r="I19" s="59">
        <f t="shared" ref="I19:J19" si="12">M8</f>
        <v>0.70833333333333337</v>
      </c>
      <c r="J19" s="85">
        <f t="shared" si="12"/>
        <v>41.75</v>
      </c>
      <c r="K19" s="86">
        <f>IFERROR(O8/$G8,"")</f>
        <v>0.2</v>
      </c>
      <c r="L19" s="86">
        <f t="shared" ref="L19:O19" si="13">IFERROR(P8/$G8,"")</f>
        <v>0</v>
      </c>
      <c r="M19" s="86">
        <f t="shared" si="13"/>
        <v>0</v>
      </c>
      <c r="N19" s="86">
        <f t="shared" si="13"/>
        <v>0.6</v>
      </c>
      <c r="O19" s="87">
        <f t="shared" si="13"/>
        <v>0.2</v>
      </c>
      <c r="P19" s="82"/>
    </row>
    <row r="20" spans="1:16">
      <c r="A20" s="57" t="str">
        <f>A19</f>
        <v>Hiligaynon</v>
      </c>
      <c r="B20" s="58" t="s">
        <v>9</v>
      </c>
      <c r="C20" s="60">
        <f>IFERROR(G9/F9,"")</f>
        <v>1</v>
      </c>
      <c r="D20" s="60">
        <f t="shared" si="11"/>
        <v>0.125</v>
      </c>
      <c r="E20" s="60">
        <f t="shared" si="11"/>
        <v>0</v>
      </c>
      <c r="F20" s="60">
        <f t="shared" si="11"/>
        <v>0</v>
      </c>
      <c r="G20" s="60">
        <f t="shared" si="11"/>
        <v>0.875</v>
      </c>
      <c r="H20" s="60">
        <f>L9</f>
        <v>0.87572821681864244</v>
      </c>
      <c r="I20" s="60">
        <f t="shared" ref="I20" si="14">M9</f>
        <v>0.78571428571428581</v>
      </c>
      <c r="J20" s="88">
        <f t="shared" ref="J20" si="15">N9</f>
        <v>41.785714285714285</v>
      </c>
      <c r="K20" s="89">
        <f>IFERROR(O9/$G9,"")</f>
        <v>0.125</v>
      </c>
      <c r="L20" s="89">
        <f t="shared" ref="L20" si="16">IFERROR(P9/$G9,"")</f>
        <v>0</v>
      </c>
      <c r="M20" s="89">
        <f t="shared" ref="M20" si="17">IFERROR(Q9/$G9,"")</f>
        <v>0</v>
      </c>
      <c r="N20" s="89">
        <f t="shared" ref="N20" si="18">IFERROR(R9/$G9,"")</f>
        <v>0.25</v>
      </c>
      <c r="O20" s="90">
        <f t="shared" ref="O20" si="19">IFERROR(S9/$G9,"")</f>
        <v>0.625</v>
      </c>
      <c r="P20" s="82"/>
    </row>
    <row r="21" spans="1:16">
      <c r="A21" s="61" t="str">
        <f>A20</f>
        <v>Hiligaynon</v>
      </c>
      <c r="B21" s="62" t="s">
        <v>107</v>
      </c>
      <c r="C21" s="63">
        <f>IFERROR(G13/F13,"")</f>
        <v>1</v>
      </c>
      <c r="D21" s="63">
        <f t="shared" ref="D21:G21" si="20">IFERROR(H13/$G13,"")</f>
        <v>0.15384615384615385</v>
      </c>
      <c r="E21" s="63">
        <f t="shared" si="20"/>
        <v>0</v>
      </c>
      <c r="F21" s="63">
        <f t="shared" si="20"/>
        <v>0</v>
      </c>
      <c r="G21" s="63">
        <f t="shared" si="20"/>
        <v>0.84615384615384615</v>
      </c>
      <c r="H21" s="63">
        <f t="shared" ref="H21:J21" si="21">L13</f>
        <v>0.87525329280648434</v>
      </c>
      <c r="I21" s="63">
        <f t="shared" si="21"/>
        <v>0.74702380952380953</v>
      </c>
      <c r="J21" s="91">
        <f t="shared" si="21"/>
        <v>41.767857142857139</v>
      </c>
      <c r="K21" s="92">
        <f>IFERROR(O13/$G13,"")</f>
        <v>0.15384615384615385</v>
      </c>
      <c r="L21" s="93">
        <f t="shared" ref="L21:O21" si="22">IFERROR(P13/$G13,"")</f>
        <v>0</v>
      </c>
      <c r="M21" s="93">
        <f t="shared" si="22"/>
        <v>0</v>
      </c>
      <c r="N21" s="93">
        <f t="shared" si="22"/>
        <v>0.38461538461538464</v>
      </c>
      <c r="O21" s="94">
        <f t="shared" si="22"/>
        <v>0.46153846153846156</v>
      </c>
      <c r="P21" s="82"/>
    </row>
    <row r="22" spans="1:16">
      <c r="A22" s="64" t="str">
        <f>D11</f>
        <v>Filipino</v>
      </c>
      <c r="B22" s="65" t="s">
        <v>8</v>
      </c>
      <c r="C22" s="66">
        <f>IFERROR(G10/F10,"")</f>
        <v>1</v>
      </c>
      <c r="D22" s="66">
        <f>IFERROR(H10/$G10,"")</f>
        <v>0.2</v>
      </c>
      <c r="E22" s="66">
        <f t="shared" ref="E22:G22" si="23">IFERROR(I10/$G10,"")</f>
        <v>0</v>
      </c>
      <c r="F22" s="66">
        <f t="shared" si="23"/>
        <v>0</v>
      </c>
      <c r="G22" s="66">
        <f t="shared" si="23"/>
        <v>0.8</v>
      </c>
      <c r="H22" s="66">
        <f t="shared" ref="H22:J22" si="24">L10</f>
        <v>0.82121710526315783</v>
      </c>
      <c r="I22" s="66">
        <f t="shared" si="24"/>
        <v>0.625</v>
      </c>
      <c r="J22" s="95">
        <f t="shared" si="24"/>
        <v>39.125</v>
      </c>
      <c r="K22" s="96">
        <f>IFERROR(O10/$G10,"")</f>
        <v>0.2</v>
      </c>
      <c r="L22" s="96">
        <f t="shared" ref="L22:O22" si="25">IFERROR(P10/$G10,"")</f>
        <v>0</v>
      </c>
      <c r="M22" s="96">
        <f t="shared" si="25"/>
        <v>0</v>
      </c>
      <c r="N22" s="96">
        <f t="shared" si="25"/>
        <v>0.6</v>
      </c>
      <c r="O22" s="97">
        <f t="shared" si="25"/>
        <v>0.2</v>
      </c>
      <c r="P22" s="82"/>
    </row>
    <row r="23" spans="1:16">
      <c r="A23" s="57" t="str">
        <f>A22</f>
        <v>Filipino</v>
      </c>
      <c r="B23" s="58" t="s">
        <v>9</v>
      </c>
      <c r="C23" s="60">
        <f>IFERROR(G11/F11,"")</f>
        <v>1</v>
      </c>
      <c r="D23" s="60">
        <f>IFERROR(H11/$G11,"")</f>
        <v>0.125</v>
      </c>
      <c r="E23" s="60">
        <f t="shared" ref="E23" si="26">IFERROR(I11/$G11,"")</f>
        <v>0</v>
      </c>
      <c r="F23" s="60">
        <f t="shared" ref="F23" si="27">IFERROR(J11/$G11,"")</f>
        <v>0</v>
      </c>
      <c r="G23" s="60">
        <f t="shared" ref="G23" si="28">IFERROR(K11/$G11,"")</f>
        <v>0.875</v>
      </c>
      <c r="H23" s="59">
        <f t="shared" ref="H23" si="29">L11</f>
        <v>0.86541353383458652</v>
      </c>
      <c r="I23" s="59">
        <f t="shared" ref="I23" si="30">M11</f>
        <v>0.59523809523809523</v>
      </c>
      <c r="J23" s="85">
        <f t="shared" ref="J23" si="31">N11</f>
        <v>41.285714285714285</v>
      </c>
      <c r="K23" s="89">
        <f>IFERROR(O11/$G11,"")</f>
        <v>0.125</v>
      </c>
      <c r="L23" s="89">
        <f t="shared" ref="L23" si="32">IFERROR(P11/$G11,"")</f>
        <v>0</v>
      </c>
      <c r="M23" s="89">
        <f t="shared" ref="M23" si="33">IFERROR(Q11/$G11,"")</f>
        <v>0.25</v>
      </c>
      <c r="N23" s="89">
        <f t="shared" ref="N23" si="34">IFERROR(R11/$G11,"")</f>
        <v>0.375</v>
      </c>
      <c r="O23" s="90">
        <f t="shared" ref="O23" si="35">IFERROR(S11/$G11,"")</f>
        <v>0.25</v>
      </c>
      <c r="P23" s="82"/>
    </row>
    <row r="24" spans="1:16">
      <c r="A24" s="61" t="str">
        <f>A23</f>
        <v>Filipino</v>
      </c>
      <c r="B24" s="62" t="s">
        <v>107</v>
      </c>
      <c r="C24" s="63">
        <f>IFERROR(G14/F14,"")</f>
        <v>1</v>
      </c>
      <c r="D24" s="63">
        <f>IFERROR(H14/$G14,"")</f>
        <v>0.15384615384615385</v>
      </c>
      <c r="E24" s="63">
        <f t="shared" ref="E24:G24" si="36">IFERROR(I14/$G14,"")</f>
        <v>0</v>
      </c>
      <c r="F24" s="63">
        <f t="shared" si="36"/>
        <v>0</v>
      </c>
      <c r="G24" s="63">
        <f t="shared" si="36"/>
        <v>0.84615384615384615</v>
      </c>
      <c r="H24" s="63">
        <f t="shared" ref="H24:J24" si="37">L14</f>
        <v>0.84331531954887218</v>
      </c>
      <c r="I24" s="63">
        <f t="shared" si="37"/>
        <v>0.61011904761904767</v>
      </c>
      <c r="J24" s="91">
        <f t="shared" si="37"/>
        <v>40.205357142857139</v>
      </c>
      <c r="K24" s="93">
        <f>IFERROR(O14/$G14,"")</f>
        <v>0.15384615384615385</v>
      </c>
      <c r="L24" s="93">
        <f t="shared" ref="L24:O24" si="38">IFERROR(P14/$G14,"")</f>
        <v>0</v>
      </c>
      <c r="M24" s="93">
        <f t="shared" si="38"/>
        <v>0.15384615384615385</v>
      </c>
      <c r="N24" s="93">
        <f t="shared" si="38"/>
        <v>0.46153846153846156</v>
      </c>
      <c r="O24" s="94">
        <f t="shared" si="38"/>
        <v>0.23076923076923078</v>
      </c>
      <c r="P24" s="82"/>
    </row>
    <row r="25" spans="1:16">
      <c r="A25" s="67"/>
      <c r="B25" s="67"/>
      <c r="C25" s="68"/>
      <c r="D25" s="68"/>
      <c r="E25" s="68"/>
      <c r="F25" s="68"/>
      <c r="G25" s="68"/>
      <c r="H25" s="68"/>
      <c r="I25" s="68"/>
      <c r="J25" s="68"/>
      <c r="K25" s="68"/>
      <c r="L25" s="68"/>
      <c r="M25" s="68"/>
      <c r="N25" s="68"/>
      <c r="O25" s="68"/>
    </row>
  </sheetData>
  <sheetProtection algorithmName="SHA-512" hashValue="gXSuLQhYjJDOf/tx29ei4SaEfu2//iq/yGKECbWI878QITjstc5/QpNChtf2xNOcBBN3KQJQD7D6f0georguoQ==" saltValue="Obj4fX0H9aJhqwMyrlLbnw==" spinCount="100000" sheet="1" objects="1" scenarios="1"/>
  <mergeCells count="17">
    <mergeCell ref="L6:N6"/>
    <mergeCell ref="Q6:S6"/>
    <mergeCell ref="A16:B16"/>
    <mergeCell ref="D16:O16"/>
    <mergeCell ref="D17:G17"/>
    <mergeCell ref="H17:J17"/>
    <mergeCell ref="K17:O17"/>
    <mergeCell ref="A6:A7"/>
    <mergeCell ref="D6:D7"/>
    <mergeCell ref="E6:E7"/>
    <mergeCell ref="F6:F7"/>
    <mergeCell ref="G6:G7"/>
    <mergeCell ref="A2:F2"/>
    <mergeCell ref="A4:B4"/>
    <mergeCell ref="A5:B5"/>
    <mergeCell ref="C5:E5"/>
    <mergeCell ref="H6:K6"/>
  </mergeCells>
  <pageMargins left="0.23622047244094491" right="0.23622047244094491" top="0.31496062992125984" bottom="0.23622047244094491" header="0.31496062992125984" footer="0.11811023622047245"/>
  <pageSetup paperSize="256" scale="71"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2:E9"/>
  <sheetViews>
    <sheetView zoomScale="54" workbookViewId="0">
      <selection activeCell="D27" sqref="D27"/>
    </sheetView>
  </sheetViews>
  <sheetFormatPr defaultColWidth="9" defaultRowHeight="14.45"/>
  <cols>
    <col min="1" max="1" width="18.875" customWidth="1"/>
    <col min="2" max="2" width="24.375" customWidth="1"/>
    <col min="3" max="3" width="63.625" customWidth="1"/>
    <col min="5" max="5" width="29" customWidth="1"/>
  </cols>
  <sheetData>
    <row r="2" spans="1:5">
      <c r="A2" t="s">
        <v>75</v>
      </c>
    </row>
    <row r="4" spans="1:5" ht="20.100000000000001" customHeight="1">
      <c r="B4" s="6" t="s">
        <v>112</v>
      </c>
      <c r="C4" s="7" t="s">
        <v>113</v>
      </c>
      <c r="D4" s="362" t="s">
        <v>114</v>
      </c>
      <c r="E4" s="363"/>
    </row>
    <row r="5" spans="1:5" ht="30" customHeight="1">
      <c r="B5" s="8" t="s">
        <v>102</v>
      </c>
      <c r="C5" s="9" t="s">
        <v>115</v>
      </c>
      <c r="D5" s="10"/>
      <c r="E5" s="11"/>
    </row>
    <row r="6" spans="1:5" ht="30" customHeight="1">
      <c r="B6" s="8" t="s">
        <v>103</v>
      </c>
      <c r="C6" s="12" t="s">
        <v>116</v>
      </c>
      <c r="D6" s="10" t="s">
        <v>64</v>
      </c>
      <c r="E6" s="11" t="s">
        <v>117</v>
      </c>
    </row>
    <row r="7" spans="1:5" ht="30" customHeight="1">
      <c r="B7" s="8" t="s">
        <v>104</v>
      </c>
      <c r="C7" s="12" t="s">
        <v>118</v>
      </c>
      <c r="D7" s="10" t="s">
        <v>55</v>
      </c>
      <c r="E7" s="11" t="s">
        <v>119</v>
      </c>
    </row>
    <row r="8" spans="1:5" ht="30" customHeight="1">
      <c r="B8" s="13" t="s">
        <v>105</v>
      </c>
      <c r="C8" s="12" t="s">
        <v>120</v>
      </c>
      <c r="D8" s="10" t="s">
        <v>59</v>
      </c>
      <c r="E8" s="11" t="s">
        <v>121</v>
      </c>
    </row>
    <row r="9" spans="1:5" ht="30" customHeight="1">
      <c r="B9" s="14" t="s">
        <v>106</v>
      </c>
      <c r="C9" s="15" t="s">
        <v>122</v>
      </c>
      <c r="D9" s="16" t="s">
        <v>69</v>
      </c>
      <c r="E9" s="17" t="s">
        <v>123</v>
      </c>
    </row>
  </sheetData>
  <sheetProtection selectLockedCells="1" selectUnlockedCells="1"/>
  <mergeCells count="1">
    <mergeCell ref="D4:E4"/>
  </mergeCells>
  <pageMargins left="0.25" right="0.25" top="0.75" bottom="0.75" header="0.3" footer="0.3"/>
  <pageSetup paperSize="10000" scale="7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M35"/>
  <sheetViews>
    <sheetView topLeftCell="C1" workbookViewId="0">
      <selection activeCell="M12" sqref="M12"/>
    </sheetView>
  </sheetViews>
  <sheetFormatPr defaultColWidth="9" defaultRowHeight="14.45"/>
  <cols>
    <col min="1" max="1" width="12.375" customWidth="1"/>
    <col min="2" max="2" width="22.875" customWidth="1"/>
    <col min="3" max="3" width="34.5" customWidth="1"/>
    <col min="4" max="4" width="9.375" customWidth="1"/>
    <col min="5" max="5" width="18.125" style="1" customWidth="1"/>
    <col min="6" max="6" width="9.875" customWidth="1"/>
    <col min="7" max="7" width="22.875" customWidth="1"/>
    <col min="8" max="8" width="10.375" style="1" customWidth="1"/>
    <col min="9" max="9" width="19.5" style="2" customWidth="1"/>
    <col min="10" max="10" width="19.125" style="1" customWidth="1"/>
    <col min="11" max="11" width="8.875" style="1"/>
    <col min="12" max="12" width="34.625" style="2" customWidth="1"/>
    <col min="13" max="13" width="8.875" style="1"/>
  </cols>
  <sheetData>
    <row r="1" spans="1:13">
      <c r="A1" t="s">
        <v>124</v>
      </c>
      <c r="B1" s="3" t="s">
        <v>125</v>
      </c>
      <c r="C1" s="3" t="s">
        <v>91</v>
      </c>
      <c r="D1" s="3"/>
      <c r="F1" t="s">
        <v>126</v>
      </c>
      <c r="G1" t="s">
        <v>91</v>
      </c>
      <c r="H1" s="1" t="s">
        <v>23</v>
      </c>
      <c r="I1" s="2" t="s">
        <v>127</v>
      </c>
      <c r="J1" s="1" t="s">
        <v>128</v>
      </c>
      <c r="K1" s="1" t="s">
        <v>129</v>
      </c>
      <c r="L1" s="2" t="s">
        <v>127</v>
      </c>
      <c r="M1" s="1" t="s">
        <v>128</v>
      </c>
    </row>
    <row r="2" spans="1:13">
      <c r="A2" s="267" t="s">
        <v>130</v>
      </c>
      <c r="B2" t="s">
        <v>131</v>
      </c>
      <c r="C2" s="4" t="s">
        <v>132</v>
      </c>
      <c r="D2" s="4">
        <v>1</v>
      </c>
      <c r="F2" t="s">
        <v>16</v>
      </c>
      <c r="G2" t="s">
        <v>133</v>
      </c>
      <c r="H2" s="1">
        <v>1</v>
      </c>
      <c r="I2" s="2" t="s">
        <v>134</v>
      </c>
      <c r="J2" s="1">
        <v>96</v>
      </c>
      <c r="K2" s="1">
        <v>2</v>
      </c>
      <c r="L2" s="2" t="s">
        <v>135</v>
      </c>
      <c r="M2" s="1">
        <v>94</v>
      </c>
    </row>
    <row r="3" spans="1:13">
      <c r="A3" s="267" t="s">
        <v>136</v>
      </c>
      <c r="B3" t="s">
        <v>137</v>
      </c>
      <c r="C3" s="4" t="s">
        <v>138</v>
      </c>
      <c r="D3" s="4">
        <v>1</v>
      </c>
      <c r="F3" t="s">
        <v>16</v>
      </c>
      <c r="G3" t="s">
        <v>139</v>
      </c>
      <c r="H3" s="1">
        <v>1</v>
      </c>
      <c r="I3" s="2" t="s">
        <v>140</v>
      </c>
      <c r="J3" s="1">
        <v>96</v>
      </c>
      <c r="K3" s="1">
        <v>2</v>
      </c>
      <c r="L3" s="2" t="s">
        <v>141</v>
      </c>
      <c r="M3" s="1">
        <v>95</v>
      </c>
    </row>
    <row r="4" spans="1:13">
      <c r="A4" s="267" t="s">
        <v>142</v>
      </c>
      <c r="B4" t="s">
        <v>143</v>
      </c>
      <c r="C4" s="4" t="s">
        <v>144</v>
      </c>
      <c r="D4" s="4"/>
      <c r="F4" t="s">
        <v>16</v>
      </c>
      <c r="G4" t="s">
        <v>145</v>
      </c>
      <c r="H4" s="1">
        <v>1</v>
      </c>
      <c r="I4" s="2" t="s">
        <v>146</v>
      </c>
      <c r="J4" s="1">
        <v>96</v>
      </c>
      <c r="K4" s="1">
        <v>2</v>
      </c>
      <c r="L4" s="2" t="s">
        <v>147</v>
      </c>
      <c r="M4" s="1">
        <v>95</v>
      </c>
    </row>
    <row r="5" spans="1:13">
      <c r="A5" t="s">
        <v>148</v>
      </c>
      <c r="B5" t="s">
        <v>149</v>
      </c>
      <c r="C5" s="4" t="s">
        <v>150</v>
      </c>
      <c r="D5" s="4"/>
      <c r="F5" t="s">
        <v>16</v>
      </c>
      <c r="G5" t="s">
        <v>151</v>
      </c>
      <c r="H5" s="1">
        <v>1</v>
      </c>
      <c r="I5" s="2" t="s">
        <v>152</v>
      </c>
      <c r="J5" s="1">
        <v>95</v>
      </c>
      <c r="K5" s="1">
        <v>2</v>
      </c>
      <c r="L5" s="2" t="s">
        <v>153</v>
      </c>
      <c r="M5" s="1">
        <v>94</v>
      </c>
    </row>
    <row r="6" spans="1:13">
      <c r="A6" s="267" t="s">
        <v>154</v>
      </c>
      <c r="B6" t="s">
        <v>155</v>
      </c>
      <c r="C6" s="4" t="s">
        <v>156</v>
      </c>
      <c r="D6" s="4"/>
      <c r="F6" t="s">
        <v>16</v>
      </c>
      <c r="G6" t="s">
        <v>72</v>
      </c>
      <c r="H6" s="1">
        <v>1</v>
      </c>
      <c r="I6" s="2" t="s">
        <v>140</v>
      </c>
      <c r="J6" s="1">
        <v>96</v>
      </c>
      <c r="K6" s="1">
        <v>2</v>
      </c>
      <c r="L6" s="2" t="s">
        <v>141</v>
      </c>
      <c r="M6" s="1">
        <v>95</v>
      </c>
    </row>
    <row r="7" spans="1:13">
      <c r="B7" t="s">
        <v>157</v>
      </c>
      <c r="C7" s="4" t="s">
        <v>133</v>
      </c>
      <c r="D7" s="4">
        <v>1</v>
      </c>
      <c r="F7" t="s">
        <v>16</v>
      </c>
      <c r="G7" t="s">
        <v>158</v>
      </c>
      <c r="H7" s="1">
        <v>1</v>
      </c>
      <c r="I7" s="2" t="s">
        <v>159</v>
      </c>
      <c r="J7" s="1">
        <v>95</v>
      </c>
      <c r="K7" s="1">
        <v>2</v>
      </c>
      <c r="L7" s="2" t="s">
        <v>160</v>
      </c>
      <c r="M7" s="1">
        <v>95</v>
      </c>
    </row>
    <row r="8" spans="1:13">
      <c r="B8" t="s">
        <v>161</v>
      </c>
      <c r="C8" t="s">
        <v>162</v>
      </c>
      <c r="D8">
        <v>1</v>
      </c>
      <c r="F8" t="s">
        <v>16</v>
      </c>
      <c r="G8" t="s">
        <v>32</v>
      </c>
      <c r="H8" s="1">
        <v>1</v>
      </c>
      <c r="I8" s="2" t="s">
        <v>163</v>
      </c>
      <c r="J8" s="1">
        <v>96</v>
      </c>
      <c r="K8" s="1">
        <v>2</v>
      </c>
      <c r="L8" s="2" t="s">
        <v>164</v>
      </c>
      <c r="M8" s="1">
        <v>94</v>
      </c>
    </row>
    <row r="9" spans="1:13">
      <c r="B9" t="s">
        <v>165</v>
      </c>
      <c r="C9" s="4" t="s">
        <v>166</v>
      </c>
      <c r="D9" s="4"/>
      <c r="F9" t="s">
        <v>16</v>
      </c>
      <c r="G9" t="s">
        <v>132</v>
      </c>
      <c r="H9" s="1">
        <v>1</v>
      </c>
      <c r="I9" s="2" t="s">
        <v>167</v>
      </c>
      <c r="J9" s="1">
        <v>94</v>
      </c>
      <c r="K9" s="1">
        <v>2</v>
      </c>
      <c r="L9" s="2" t="s">
        <v>168</v>
      </c>
      <c r="M9" s="1">
        <v>94</v>
      </c>
    </row>
    <row r="10" spans="1:13">
      <c r="B10" t="s">
        <v>169</v>
      </c>
      <c r="C10" s="4" t="s">
        <v>32</v>
      </c>
      <c r="D10" s="4">
        <v>1</v>
      </c>
      <c r="F10" t="s">
        <v>16</v>
      </c>
      <c r="G10" t="s">
        <v>170</v>
      </c>
      <c r="H10" s="1">
        <v>1</v>
      </c>
      <c r="I10" s="2" t="s">
        <v>171</v>
      </c>
      <c r="J10" s="1">
        <v>95</v>
      </c>
      <c r="K10" s="1">
        <v>2</v>
      </c>
      <c r="L10" s="2" t="s">
        <v>172</v>
      </c>
      <c r="M10" s="1">
        <v>95</v>
      </c>
    </row>
    <row r="11" spans="1:13">
      <c r="B11" t="s">
        <v>173</v>
      </c>
      <c r="C11" s="4" t="s">
        <v>174</v>
      </c>
      <c r="D11" s="4"/>
      <c r="F11" t="s">
        <v>16</v>
      </c>
      <c r="G11" t="s">
        <v>175</v>
      </c>
      <c r="H11" s="1">
        <v>1</v>
      </c>
      <c r="I11" s="2" t="s">
        <v>176</v>
      </c>
      <c r="J11" s="1">
        <v>95</v>
      </c>
      <c r="K11" s="1">
        <v>2</v>
      </c>
      <c r="L11" s="2" t="s">
        <v>177</v>
      </c>
      <c r="M11" s="1">
        <v>95</v>
      </c>
    </row>
    <row r="12" spans="1:13">
      <c r="B12" t="s">
        <v>178</v>
      </c>
      <c r="C12" s="4" t="s">
        <v>179</v>
      </c>
      <c r="D12" s="4">
        <v>1</v>
      </c>
      <c r="F12" t="s">
        <v>16</v>
      </c>
      <c r="G12" t="s">
        <v>174</v>
      </c>
      <c r="H12" s="1">
        <v>1</v>
      </c>
      <c r="I12" s="2" t="s">
        <v>180</v>
      </c>
      <c r="J12" s="1">
        <v>95</v>
      </c>
      <c r="K12" s="1">
        <v>2</v>
      </c>
      <c r="L12" s="2" t="s">
        <v>181</v>
      </c>
      <c r="M12" s="1">
        <v>95</v>
      </c>
    </row>
    <row r="13" spans="1:13">
      <c r="B13" t="s">
        <v>182</v>
      </c>
      <c r="C13" s="4" t="s">
        <v>183</v>
      </c>
      <c r="D13" s="4">
        <v>1</v>
      </c>
    </row>
    <row r="14" spans="1:13">
      <c r="B14" t="s">
        <v>184</v>
      </c>
      <c r="C14" s="5" t="s">
        <v>185</v>
      </c>
      <c r="D14" s="5"/>
    </row>
    <row r="15" spans="1:13">
      <c r="B15" t="s">
        <v>186</v>
      </c>
      <c r="C15" s="5" t="s">
        <v>187</v>
      </c>
      <c r="D15" s="5">
        <v>1</v>
      </c>
    </row>
    <row r="16" spans="1:13">
      <c r="B16" t="s">
        <v>188</v>
      </c>
      <c r="C16" s="4" t="s">
        <v>189</v>
      </c>
      <c r="D16" s="4">
        <v>1</v>
      </c>
    </row>
    <row r="17" spans="2:4">
      <c r="B17" t="s">
        <v>190</v>
      </c>
      <c r="C17" s="5" t="s">
        <v>170</v>
      </c>
      <c r="D17" s="5">
        <v>1</v>
      </c>
    </row>
    <row r="18" spans="2:4">
      <c r="B18" t="s">
        <v>191</v>
      </c>
      <c r="C18" s="4" t="s">
        <v>175</v>
      </c>
      <c r="D18" s="4">
        <v>1</v>
      </c>
    </row>
    <row r="19" spans="2:4">
      <c r="C19" s="4" t="s">
        <v>192</v>
      </c>
      <c r="D19" s="4">
        <v>1</v>
      </c>
    </row>
    <row r="20" spans="2:4">
      <c r="C20" s="5" t="s">
        <v>151</v>
      </c>
      <c r="D20" s="5"/>
    </row>
    <row r="21" spans="2:4">
      <c r="C21" s="4" t="s">
        <v>193</v>
      </c>
      <c r="D21" s="4"/>
    </row>
    <row r="22" spans="2:4">
      <c r="C22" s="4" t="s">
        <v>194</v>
      </c>
      <c r="D22" s="4"/>
    </row>
    <row r="23" spans="2:4">
      <c r="C23" s="4" t="s">
        <v>195</v>
      </c>
      <c r="D23" s="4"/>
    </row>
    <row r="24" spans="2:4">
      <c r="C24" s="4" t="s">
        <v>196</v>
      </c>
      <c r="D24" s="4">
        <v>1</v>
      </c>
    </row>
    <row r="25" spans="2:4">
      <c r="C25" t="s">
        <v>145</v>
      </c>
    </row>
    <row r="26" spans="2:4">
      <c r="C26" t="s">
        <v>197</v>
      </c>
      <c r="D26">
        <v>1</v>
      </c>
    </row>
    <row r="27" spans="2:4">
      <c r="C27" t="s">
        <v>158</v>
      </c>
      <c r="D27">
        <v>1</v>
      </c>
    </row>
    <row r="28" spans="2:4">
      <c r="C28" t="s">
        <v>198</v>
      </c>
    </row>
    <row r="29" spans="2:4">
      <c r="C29" t="s">
        <v>199</v>
      </c>
    </row>
    <row r="30" spans="2:4">
      <c r="C30" t="s">
        <v>200</v>
      </c>
      <c r="D30">
        <v>1</v>
      </c>
    </row>
    <row r="31" spans="2:4">
      <c r="C31" t="s">
        <v>139</v>
      </c>
      <c r="D31">
        <v>1</v>
      </c>
    </row>
    <row r="32" spans="2:4">
      <c r="C32" t="s">
        <v>201</v>
      </c>
      <c r="D32">
        <v>1</v>
      </c>
    </row>
    <row r="33" spans="3:4">
      <c r="C33" t="s">
        <v>202</v>
      </c>
    </row>
    <row r="34" spans="3:4">
      <c r="C34" t="s">
        <v>203</v>
      </c>
      <c r="D34">
        <v>1</v>
      </c>
    </row>
    <row r="35" spans="3:4">
      <c r="C35" t="s">
        <v>204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 otherUserPermission="visible"/>
  <rangeList sheetStid="7" master="" otherUserPermission="visible"/>
  <rangeList sheetStid="3" master="" otherUserPermission="visible"/>
  <rangeList sheetStid="2" master="" otherUserPermission="visible"/>
  <rangeList sheetStid="5" master="" otherUserPermission="visible"/>
  <rangeList sheetStid="4" master="" otherUserPermission="visible"/>
</allowEditUser>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5A5607D9-04D2-4DE1-AC0E-A7772F01BC71}"/>
</file>

<file path=customXml/itemProps2.xml><?xml version="1.0" encoding="utf-8"?>
<ds:datastoreItem xmlns:ds="http://schemas.openxmlformats.org/officeDocument/2006/customXml" ds:itemID="{E40F74CC-5DFF-417A-B2F6-72C59B026C28}"/>
</file>

<file path=customXml/itemProps3.xml><?xml version="1.0" encoding="utf-8"?>
<ds:datastoreItem xmlns:ds="http://schemas.openxmlformats.org/officeDocument/2006/customXml" ds:itemID="{17C0D7AD-FEB7-498D-84FE-1FA6DBED9156}"/>
</file>

<file path=customXml/itemProps4.xml><?xml version="1.0" encoding="utf-8"?>
<ds:datastoreItem xmlns:ds="http://schemas.openxmlformats.org/officeDocument/2006/customXml" ds:itemID="{236F5FEF-25FB-44F7-B160-00567EA09EFB}"/>
</file>

<file path=customXml/itemProps5.xml><?xml version="1.0" encoding="utf-8"?>
<ds:datastoreItem xmlns:ds="http://schemas.openxmlformats.org/officeDocument/2006/customXml" ds:itemID="{03D3DBF9-4083-4846-A7D4-7492DD64A3B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2021-07-15T02:28:00Z</dcterms:created>
  <dcterms:modified xsi:type="dcterms:W3CDTF">2026-09-21T21:07:05Z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D3C18E286E7E4D0FAB53F9B02FF2465C_12</vt:lpwstr>
  </property>
  <property fmtid="{D5CDD505-2E9C-101B-9397-08002B2CF9AE}" pid="3" name="KSOProductBuildVer">
    <vt:lpwstr>1033-12.2.0.18165</vt:lpwstr>
  </property>
  <property fmtid="{D5CDD505-2E9C-101B-9397-08002B2CF9AE}" pid="4" name="ContentTypeId">
    <vt:lpwstr>0x010100E389F3844E834B438EAF4C3974A5E888</vt:lpwstr>
  </property>
  <property fmtid="{D5CDD505-2E9C-101B-9397-08002B2CF9AE}" pid="5" name="MediaServiceImageTags">
    <vt:lpwstr/>
  </property>
</Properties>
</file>